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dia/image3.svg" ContentType="image/svg+xml"/>
  <Override PartName="/xl/media/image5.svg" ContentType="image/svg+xml"/>
  <Override PartName="/xl/media/image7.svg" ContentType="image/sv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tabRatio="743" firstSheet="1" activeTab="15"/>
  </bookViews>
  <sheets>
    <sheet name="草稿" sheetId="1" state="hidden" r:id="rId1"/>
    <sheet name="原力" sheetId="18" r:id="rId2"/>
    <sheet name="光明" sheetId="21" r:id="rId3"/>
    <sheet name="暗影" sheetId="19" r:id="rId4"/>
    <sheet name="火焰" sheetId="20" r:id="rId5"/>
    <sheet name="雷电" sheetId="24" r:id="rId6"/>
    <sheet name="气流" sheetId="25" r:id="rId7"/>
    <sheet name="流水" sheetId="26" r:id="rId8"/>
    <sheet name="冰霜" sheetId="23" r:id="rId9"/>
    <sheet name="土石" sheetId="4" r:id="rId10"/>
    <sheet name="医疗" sheetId="22" r:id="rId11"/>
    <sheet name="生命" sheetId="9" r:id="rId12"/>
    <sheet name="传心感知" sheetId="17" r:id="rId13"/>
    <sheet name="空表格" sheetId="16" r:id="rId14"/>
    <sheet name="法术职业" sheetId="6" r:id="rId15"/>
    <sheet name="v1.2更新记录" sheetId="28" r:id="rId16"/>
    <sheet name="WpsReserved_CellImgList" sheetId="27" state="veryHidden"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16" name="ID_B8866FF8443B4D5096579B7AE4F8D3EB" descr="图标_职业_近卫_大图"/>
        <xdr:cNvPicPr>
          <a:picLocks noChangeAspect="1"/>
        </xdr:cNvPicPr>
      </xdr:nvPicPr>
      <xdr:blipFill>
        <a:blip r:embed="rId1"/>
        <a:stretch>
          <a:fillRect/>
        </a:stretch>
      </xdr:blipFill>
      <xdr:spPr>
        <a:xfrm>
          <a:off x="617220" y="5101590"/>
          <a:ext cx="541020" cy="525780"/>
        </a:xfrm>
        <a:prstGeom prst="rect">
          <a:avLst/>
        </a:prstGeom>
      </xdr:spPr>
    </xdr:pic>
  </etc:cellImage>
  <etc:cellImage>
    <xdr:pic>
      <xdr:nvPicPr>
        <xdr:cNvPr id="3" name="ID_29B33786BB7E433C91D14FE25C8230AE"/>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99085" y="1405255"/>
          <a:ext cx="1323340" cy="1298575"/>
        </a:xfrm>
        <a:prstGeom prst="rect">
          <a:avLst/>
        </a:prstGeom>
      </xdr:spPr>
    </xdr:pic>
  </etc:cellImage>
  <etc:cellImage>
    <xdr:pic>
      <xdr:nvPicPr>
        <xdr:cNvPr id="96" name="ID_650E4A34B21B426196708D7D30EC7645"/>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1813560" y="19900900"/>
          <a:ext cx="552450" cy="573405"/>
        </a:xfrm>
        <a:prstGeom prst="rect">
          <a:avLst/>
        </a:prstGeom>
      </xdr:spPr>
    </xdr:pic>
  </etc:cellImage>
  <etc:cellImage>
    <xdr:pic>
      <xdr:nvPicPr>
        <xdr:cNvPr id="14" name="ID_DC3FF61C4C3A43A8878CE11429382A86" descr="图标_职业_术师_大图"/>
        <xdr:cNvPicPr>
          <a:picLocks noChangeAspect="1"/>
        </xdr:cNvPicPr>
      </xdr:nvPicPr>
      <xdr:blipFill>
        <a:blip r:embed="rId4"/>
        <a:stretch>
          <a:fillRect/>
        </a:stretch>
      </xdr:blipFill>
      <xdr:spPr>
        <a:xfrm>
          <a:off x="617220" y="6195060"/>
          <a:ext cx="541020" cy="523875"/>
        </a:xfrm>
        <a:prstGeom prst="rect">
          <a:avLst/>
        </a:prstGeom>
      </xdr:spPr>
    </xdr:pic>
  </etc:cellImage>
  <etc:cellImage>
    <xdr:pic>
      <xdr:nvPicPr>
        <xdr:cNvPr id="4" name="ID_00D9FB4C8F334FD5BD7BFDB39E4820D1"/>
        <xdr:cNvPicPr>
          <a:picLocks noChangeAspect="1"/>
        </xdr:cNvPicPr>
      </xdr:nvPicPr>
      <xdr:blipFill>
        <a:blip r:embed="rId5"/>
        <a:stretch>
          <a:fillRect/>
        </a:stretch>
      </xdr:blipFill>
      <xdr:spPr>
        <a:xfrm>
          <a:off x="1094105" y="6162675"/>
          <a:ext cx="1524635" cy="1143000"/>
        </a:xfrm>
        <a:prstGeom prst="rect">
          <a:avLst/>
        </a:prstGeom>
      </xdr:spPr>
    </xdr:pic>
  </etc:cellImage>
  <etc:cellImage>
    <xdr:pic>
      <xdr:nvPicPr>
        <xdr:cNvPr id="97" name="ID_6D0E85631DA94EC1A33EDB3F8C2E46CB"/>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819910" y="20502880"/>
          <a:ext cx="563880" cy="588645"/>
        </a:xfrm>
        <a:prstGeom prst="rect">
          <a:avLst/>
        </a:prstGeom>
      </xdr:spPr>
    </xdr:pic>
  </etc:cellImage>
  <etc:cellImage>
    <xdr:pic>
      <xdr:nvPicPr>
        <xdr:cNvPr id="99" name="ID_8CC09361A8C64EECA9B27477FBBC2B30"/>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1860550" y="21643975"/>
          <a:ext cx="579755" cy="518795"/>
        </a:xfrm>
        <a:prstGeom prst="rect">
          <a:avLst/>
        </a:prstGeom>
      </xdr:spPr>
    </xdr:pic>
  </etc:cellImage>
  <etc:cellImage>
    <xdr:pic>
      <xdr:nvPicPr>
        <xdr:cNvPr id="22" name="ID_68164ABF2B164D4CBEAEC3E55447C726"/>
        <xdr:cNvPicPr>
          <a:picLocks noChangeAspect="1"/>
        </xdr:cNvPicPr>
      </xdr:nvPicPr>
      <xdr:blipFill>
        <a:blip r:embed="rId8"/>
        <a:stretch>
          <a:fillRect/>
        </a:stretch>
      </xdr:blipFill>
      <xdr:spPr>
        <a:xfrm>
          <a:off x="7955915" y="6195695"/>
          <a:ext cx="1274445" cy="1274445"/>
        </a:xfrm>
        <a:prstGeom prst="rect">
          <a:avLst/>
        </a:prstGeom>
      </xdr:spPr>
    </xdr:pic>
  </etc:cellImage>
  <etc:cellImage>
    <xdr:pic>
      <xdr:nvPicPr>
        <xdr:cNvPr id="76" name="ID_F68FB23C557B439B8A2572C0FBE16F40"/>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1795780" y="13331825"/>
          <a:ext cx="391795" cy="583565"/>
        </a:xfrm>
        <a:prstGeom prst="rect">
          <a:avLst/>
        </a:prstGeom>
      </xdr:spPr>
    </xdr:pic>
  </etc:cellImage>
  <etc:cellImage>
    <xdr:pic>
      <xdr:nvPicPr>
        <xdr:cNvPr id="18" name="ID_E8432A8329DC429187475324D11B3301" descr="图标_职业_辅助_大图"/>
        <xdr:cNvPicPr>
          <a:picLocks noChangeAspect="1"/>
        </xdr:cNvPicPr>
      </xdr:nvPicPr>
      <xdr:blipFill>
        <a:blip r:embed="rId10"/>
        <a:stretch>
          <a:fillRect/>
        </a:stretch>
      </xdr:blipFill>
      <xdr:spPr>
        <a:xfrm>
          <a:off x="617220" y="4554855"/>
          <a:ext cx="541020" cy="525780"/>
        </a:xfrm>
        <a:prstGeom prst="rect">
          <a:avLst/>
        </a:prstGeom>
      </xdr:spPr>
    </xdr:pic>
  </etc:cellImage>
  <etc:cellImage>
    <xdr:pic>
      <xdr:nvPicPr>
        <xdr:cNvPr id="5" name="ID_A07359371D7F4787B3C1B95EB632C043" descr="upload_post_object_v2_4283199742"/>
        <xdr:cNvPicPr>
          <a:picLocks noChangeAspect="1"/>
        </xdr:cNvPicPr>
      </xdr:nvPicPr>
      <xdr:blipFill>
        <a:blip r:embed="rId11"/>
        <a:stretch>
          <a:fillRect/>
        </a:stretch>
      </xdr:blipFill>
      <xdr:spPr>
        <a:xfrm>
          <a:off x="21133435" y="6072505"/>
          <a:ext cx="1883410" cy="1404620"/>
        </a:xfrm>
        <a:prstGeom prst="rect">
          <a:avLst/>
        </a:prstGeom>
      </xdr:spPr>
    </xdr:pic>
  </etc:cellImage>
  <etc:cellImage>
    <xdr:pic>
      <xdr:nvPicPr>
        <xdr:cNvPr id="72" name="ID_711A68FC722D47E39FEB7C80579ECDFB"/>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1731010" y="12219940"/>
          <a:ext cx="562610" cy="562610"/>
        </a:xfrm>
        <a:prstGeom prst="rect">
          <a:avLst/>
        </a:prstGeom>
      </xdr:spPr>
    </xdr:pic>
  </etc:cellImage>
  <etc:cellImage>
    <xdr:pic>
      <xdr:nvPicPr>
        <xdr:cNvPr id="6" name="ID_CD3D405B8AAD4B80863FC50D9B91FCF3"/>
        <xdr:cNvPicPr>
          <a:picLocks noChangeAspect="1"/>
        </xdr:cNvPicPr>
      </xdr:nvPicPr>
      <xdr:blipFill>
        <a:blip r:embed="rId13" r:link="rId14"/>
        <a:stretch>
          <a:fillRect/>
        </a:stretch>
      </xdr:blipFill>
      <xdr:spPr>
        <a:xfrm>
          <a:off x="28381325" y="5946140"/>
          <a:ext cx="1389380" cy="1762760"/>
        </a:xfrm>
        <a:prstGeom prst="rect">
          <a:avLst/>
        </a:prstGeom>
        <a:noFill/>
        <a:ln w="9525">
          <a:noFill/>
        </a:ln>
      </xdr:spPr>
    </xdr:pic>
  </etc:cellImage>
  <etc:cellImage>
    <xdr:pic>
      <xdr:nvPicPr>
        <xdr:cNvPr id="7" name="ID_9DA30D570E8E4D26ABC3452C240B64BB" descr="upload_post_object_v2_808434129"/>
        <xdr:cNvPicPr>
          <a:picLocks noChangeAspect="1"/>
        </xdr:cNvPicPr>
      </xdr:nvPicPr>
      <xdr:blipFill>
        <a:blip r:embed="rId15"/>
        <a:stretch>
          <a:fillRect/>
        </a:stretch>
      </xdr:blipFill>
      <xdr:spPr>
        <a:xfrm>
          <a:off x="34829750" y="6218555"/>
          <a:ext cx="1497965" cy="1123315"/>
        </a:xfrm>
        <a:prstGeom prst="rect">
          <a:avLst/>
        </a:prstGeom>
      </xdr:spPr>
    </xdr:pic>
  </etc:cellImage>
  <etc:cellImage>
    <xdr:pic>
      <xdr:nvPicPr>
        <xdr:cNvPr id="24" name="ID_A73A0903F4264DAB82ED6940717697CB" descr="图标_职业_医疗_大图"/>
        <xdr:cNvPicPr>
          <a:picLocks noChangeAspect="1"/>
        </xdr:cNvPicPr>
      </xdr:nvPicPr>
      <xdr:blipFill>
        <a:blip r:embed="rId16"/>
        <a:stretch>
          <a:fillRect/>
        </a:stretch>
      </xdr:blipFill>
      <xdr:spPr>
        <a:xfrm>
          <a:off x="617220" y="7837170"/>
          <a:ext cx="541020" cy="539115"/>
        </a:xfrm>
        <a:prstGeom prst="rect">
          <a:avLst/>
        </a:prstGeom>
      </xdr:spPr>
    </xdr:pic>
  </etc:cellImage>
  <etc:cellImage>
    <xdr:pic>
      <xdr:nvPicPr>
        <xdr:cNvPr id="135" name="ID_429575C20C454685927B901E0BD3B163"/>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1802130" y="35256470"/>
          <a:ext cx="499745" cy="554355"/>
        </a:xfrm>
        <a:prstGeom prst="rect">
          <a:avLst/>
        </a:prstGeom>
      </xdr:spPr>
    </xdr:pic>
  </etc:cellImage>
  <etc:cellImage>
    <xdr:pic>
      <xdr:nvPicPr>
        <xdr:cNvPr id="48" name="ID_4AC529FA57124C808C6288C783BC17B5" descr="upload_post_object_v2_4283199742"/>
        <xdr:cNvPicPr>
          <a:picLocks noChangeAspect="1"/>
        </xdr:cNvPicPr>
      </xdr:nvPicPr>
      <xdr:blipFill>
        <a:blip r:embed="rId11"/>
        <a:stretch>
          <a:fillRect/>
        </a:stretch>
      </xdr:blipFill>
      <xdr:spPr>
        <a:xfrm>
          <a:off x="41670605" y="6195695"/>
          <a:ext cx="1541145" cy="1156335"/>
        </a:xfrm>
        <a:prstGeom prst="rect">
          <a:avLst/>
        </a:prstGeom>
      </xdr:spPr>
    </xdr:pic>
  </etc:cellImage>
  <etc:cellImage>
    <xdr:pic>
      <xdr:nvPicPr>
        <xdr:cNvPr id="127" name="ID_543CEB5128D34C7B86B42FC8E8D28A51"/>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1811655" y="33114615"/>
          <a:ext cx="546100" cy="514350"/>
        </a:xfrm>
        <a:prstGeom prst="rect">
          <a:avLst/>
        </a:prstGeom>
      </xdr:spPr>
    </xdr:pic>
  </etc:cellImage>
  <etc:cellImage>
    <xdr:pic>
      <xdr:nvPicPr>
        <xdr:cNvPr id="133" name="ID_1535B9B984F542669E3F4CDECDF0E294"/>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1936750" y="34711640"/>
          <a:ext cx="535940" cy="535940"/>
        </a:xfrm>
        <a:prstGeom prst="rect">
          <a:avLst/>
        </a:prstGeom>
      </xdr:spPr>
    </xdr:pic>
  </etc:cellImage>
  <etc:cellImage>
    <xdr:pic>
      <xdr:nvPicPr>
        <xdr:cNvPr id="56" name="ID_61DBAB06EDD843C58C1E6223384F3397"/>
        <xdr:cNvPicPr>
          <a:picLocks noChangeAspect="1"/>
        </xdr:cNvPicPr>
      </xdr:nvPicPr>
      <xdr:blipFill>
        <a:blip r:embed="rId20" r:link="rId14"/>
        <a:stretch>
          <a:fillRect/>
        </a:stretch>
      </xdr:blipFill>
      <xdr:spPr>
        <a:xfrm>
          <a:off x="48701960" y="5952490"/>
          <a:ext cx="1316990" cy="1661795"/>
        </a:xfrm>
        <a:prstGeom prst="rect">
          <a:avLst/>
        </a:prstGeom>
        <a:noFill/>
        <a:ln w="9525">
          <a:noFill/>
        </a:ln>
      </xdr:spPr>
    </xdr:pic>
  </etc:cellImage>
  <etc:cellImage>
    <xdr:pic>
      <xdr:nvPicPr>
        <xdr:cNvPr id="8" name="ID_9C50E56DDEC94528A554EA7BD4B3D009" descr="2"/>
        <xdr:cNvPicPr/>
      </xdr:nvPicPr>
      <xdr:blipFill>
        <a:blip r:embed="rId5"/>
        <a:stretch>
          <a:fillRect/>
        </a:stretch>
      </xdr:blipFill>
      <xdr:spPr>
        <a:xfrm>
          <a:off x="0" y="0"/>
          <a:ext cx="990600" cy="742950"/>
        </a:xfrm>
        <a:prstGeom prst="rect">
          <a:avLst/>
        </a:prstGeom>
      </xdr:spPr>
    </xdr:pic>
  </etc:cellImage>
  <etc:cellImage>
    <xdr:pic>
      <xdr:nvPicPr>
        <xdr:cNvPr id="10" name="ID_BE08F6B6DF7240588BFC54C37756F96D" descr="4"/>
        <xdr:cNvPicPr/>
      </xdr:nvPicPr>
      <xdr:blipFill>
        <a:blip r:embed="rId21"/>
        <a:stretch>
          <a:fillRect/>
        </a:stretch>
      </xdr:blipFill>
      <xdr:spPr>
        <a:xfrm>
          <a:off x="0" y="0"/>
          <a:ext cx="742950" cy="1238250"/>
        </a:xfrm>
        <a:prstGeom prst="rect">
          <a:avLst/>
        </a:prstGeom>
      </xdr:spPr>
    </xdr:pic>
  </etc:cellImage>
  <etc:cellImage>
    <xdr:pic>
      <xdr:nvPicPr>
        <xdr:cNvPr id="11" name="ID_7B188A15CEE4435098041758FEC1AB6D" descr="3"/>
        <xdr:cNvPicPr/>
      </xdr:nvPicPr>
      <xdr:blipFill>
        <a:blip r:embed="rId22" r:link="rId14"/>
        <a:stretch>
          <a:fillRect/>
        </a:stretch>
      </xdr:blipFill>
      <xdr:spPr>
        <a:xfrm>
          <a:off x="0" y="0"/>
          <a:ext cx="1238250" cy="1238250"/>
        </a:xfrm>
        <a:prstGeom prst="rect">
          <a:avLst/>
        </a:prstGeom>
      </xdr:spPr>
    </xdr:pic>
  </etc:cellImage>
  <etc:cellImage>
    <xdr:pic>
      <xdr:nvPicPr>
        <xdr:cNvPr id="12" name="ID_E09602D611FD4790AEA1A082707EDC61" descr="2"/>
        <xdr:cNvPicPr/>
      </xdr:nvPicPr>
      <xdr:blipFill>
        <a:blip r:embed="rId5"/>
        <a:stretch>
          <a:fillRect/>
        </a:stretch>
      </xdr:blipFill>
      <xdr:spPr>
        <a:xfrm>
          <a:off x="0" y="0"/>
          <a:ext cx="990600" cy="742950"/>
        </a:xfrm>
        <a:prstGeom prst="rect">
          <a:avLst/>
        </a:prstGeom>
      </xdr:spPr>
    </xdr:pic>
  </etc:cellImage>
  <etc:cellImage>
    <xdr:pic>
      <xdr:nvPicPr>
        <xdr:cNvPr id="15" name="ID_4AEE9A02CA4F4AFE9B81D430DC91BCA1" descr="1"/>
        <xdr:cNvPicPr/>
      </xdr:nvPicPr>
      <xdr:blipFill>
        <a:blip r:embed="rId8"/>
        <a:stretch>
          <a:fillRect/>
        </a:stretch>
      </xdr:blipFill>
      <xdr:spPr>
        <a:xfrm>
          <a:off x="0" y="0"/>
          <a:ext cx="742950" cy="742950"/>
        </a:xfrm>
        <a:prstGeom prst="rect">
          <a:avLst/>
        </a:prstGeom>
      </xdr:spPr>
    </xdr:pic>
  </etc:cellImage>
  <etc:cellImage>
    <xdr:pic>
      <xdr:nvPicPr>
        <xdr:cNvPr id="17" name="ID_332BA67148914844AD8D7C153EC2616F" descr="5"/>
        <xdr:cNvPicPr/>
      </xdr:nvPicPr>
      <xdr:blipFill>
        <a:blip r:embed="rId23"/>
        <a:stretch>
          <a:fillRect/>
        </a:stretch>
      </xdr:blipFill>
      <xdr:spPr>
        <a:xfrm>
          <a:off x="0" y="0"/>
          <a:ext cx="742950" cy="742950"/>
        </a:xfrm>
        <a:prstGeom prst="rect">
          <a:avLst/>
        </a:prstGeom>
      </xdr:spPr>
    </xdr:pic>
  </etc:cellImage>
  <etc:cellImage>
    <xdr:pic>
      <xdr:nvPicPr>
        <xdr:cNvPr id="19" name="ID_352F057320394128B3AD79CE6B3F65E9" descr="5"/>
        <xdr:cNvPicPr/>
      </xdr:nvPicPr>
      <xdr:blipFill>
        <a:blip r:embed="rId23"/>
        <a:stretch>
          <a:fillRect/>
        </a:stretch>
      </xdr:blipFill>
      <xdr:spPr>
        <a:xfrm>
          <a:off x="0" y="0"/>
          <a:ext cx="742950" cy="742950"/>
        </a:xfrm>
        <a:prstGeom prst="rect">
          <a:avLst/>
        </a:prstGeom>
      </xdr:spPr>
    </xdr:pic>
  </etc:cellImage>
  <etc:cellImage>
    <xdr:pic>
      <xdr:nvPicPr>
        <xdr:cNvPr id="20" name="ID_73550FB06D014938AA281F0CF418BA23" descr="6"/>
        <xdr:cNvPicPr/>
      </xdr:nvPicPr>
      <xdr:blipFill>
        <a:blip r:embed="rId24" r:link="rId14"/>
        <a:stretch>
          <a:fillRect/>
        </a:stretch>
      </xdr:blipFill>
      <xdr:spPr>
        <a:xfrm>
          <a:off x="0" y="0"/>
          <a:ext cx="990600" cy="742950"/>
        </a:xfrm>
        <a:prstGeom prst="rect">
          <a:avLst/>
        </a:prstGeom>
      </xdr:spPr>
    </xdr:pic>
  </etc:cellImage>
  <etc:cellImage>
    <xdr:pic>
      <xdr:nvPicPr>
        <xdr:cNvPr id="21" name="ID_72A1113324084D7FAEE46898E1DF046E" descr="7"/>
        <xdr:cNvPicPr/>
      </xdr:nvPicPr>
      <xdr:blipFill>
        <a:blip r:embed="rId25"/>
        <a:stretch>
          <a:fillRect/>
        </a:stretch>
      </xdr:blipFill>
      <xdr:spPr>
        <a:xfrm>
          <a:off x="0" y="0"/>
          <a:ext cx="1238250" cy="1238250"/>
        </a:xfrm>
        <a:prstGeom prst="rect">
          <a:avLst/>
        </a:prstGeom>
      </xdr:spPr>
    </xdr:pic>
  </etc:cellImage>
  <etc:cellImage>
    <xdr:pic>
      <xdr:nvPicPr>
        <xdr:cNvPr id="23" name="ID_40C0CF1C9E304AD39D41100E3C91254C" descr="7"/>
        <xdr:cNvPicPr/>
      </xdr:nvPicPr>
      <xdr:blipFill>
        <a:blip r:embed="rId25"/>
        <a:stretch>
          <a:fillRect/>
        </a:stretch>
      </xdr:blipFill>
      <xdr:spPr>
        <a:xfrm>
          <a:off x="0" y="0"/>
          <a:ext cx="1238250" cy="1238250"/>
        </a:xfrm>
        <a:prstGeom prst="rect">
          <a:avLst/>
        </a:prstGeom>
      </xdr:spPr>
    </xdr:pic>
  </etc:cellImage>
  <etc:cellImage>
    <xdr:pic>
      <xdr:nvPicPr>
        <xdr:cNvPr id="25" name="ID_36D81C8AA6A1432D9D46CFAF43F6D505" descr="8"/>
        <xdr:cNvPicPr/>
      </xdr:nvPicPr>
      <xdr:blipFill>
        <a:blip r:embed="rId26"/>
        <a:stretch>
          <a:fillRect/>
        </a:stretch>
      </xdr:blipFill>
      <xdr:spPr>
        <a:xfrm>
          <a:off x="0" y="0"/>
          <a:ext cx="1733550" cy="1733550"/>
        </a:xfrm>
        <a:prstGeom prst="rect">
          <a:avLst/>
        </a:prstGeom>
      </xdr:spPr>
    </xdr:pic>
  </etc:cellImage>
  <etc:cellImage>
    <xdr:pic>
      <xdr:nvPicPr>
        <xdr:cNvPr id="26" name="ID_0752C98FF66649929CDC383BB4C9FA1D" descr="7"/>
        <xdr:cNvPicPr/>
      </xdr:nvPicPr>
      <xdr:blipFill>
        <a:blip r:embed="rId25"/>
        <a:stretch>
          <a:fillRect/>
        </a:stretch>
      </xdr:blipFill>
      <xdr:spPr>
        <a:xfrm>
          <a:off x="0" y="0"/>
          <a:ext cx="1238250" cy="1238250"/>
        </a:xfrm>
        <a:prstGeom prst="rect">
          <a:avLst/>
        </a:prstGeom>
      </xdr:spPr>
    </xdr:pic>
  </etc:cellImage>
  <etc:cellImage>
    <xdr:pic>
      <xdr:nvPicPr>
        <xdr:cNvPr id="27" name="ID_6728A2511B314E5EA9397174EF34DC45" descr="5"/>
        <xdr:cNvPicPr/>
      </xdr:nvPicPr>
      <xdr:blipFill>
        <a:blip r:embed="rId23"/>
        <a:stretch>
          <a:fillRect/>
        </a:stretch>
      </xdr:blipFill>
      <xdr:spPr>
        <a:xfrm>
          <a:off x="0" y="0"/>
          <a:ext cx="742950" cy="742950"/>
        </a:xfrm>
        <a:prstGeom prst="rect">
          <a:avLst/>
        </a:prstGeom>
      </xdr:spPr>
    </xdr:pic>
  </etc:cellImage>
  <etc:cellImage>
    <xdr:pic>
      <xdr:nvPicPr>
        <xdr:cNvPr id="28" name="ID_8D1D66EF3C8E4C4DA2C499BD98760604" descr="5"/>
        <xdr:cNvPicPr/>
      </xdr:nvPicPr>
      <xdr:blipFill>
        <a:blip r:embed="rId23"/>
        <a:stretch>
          <a:fillRect/>
        </a:stretch>
      </xdr:blipFill>
      <xdr:spPr>
        <a:xfrm>
          <a:off x="0" y="0"/>
          <a:ext cx="742950" cy="742950"/>
        </a:xfrm>
        <a:prstGeom prst="rect">
          <a:avLst/>
        </a:prstGeom>
      </xdr:spPr>
    </xdr:pic>
  </etc:cellImage>
  <etc:cellImage>
    <xdr:pic>
      <xdr:nvPicPr>
        <xdr:cNvPr id="2" name="ID_A223E8EC2451478EBFCD8AC675E40CF7" descr="距离2"/>
        <xdr:cNvPicPr>
          <a:picLocks noChangeAspect="1"/>
        </xdr:cNvPicPr>
      </xdr:nvPicPr>
      <xdr:blipFill>
        <a:blip r:embed="rId25"/>
        <a:stretch>
          <a:fillRect/>
        </a:stretch>
      </xdr:blipFill>
      <xdr:spPr>
        <a:xfrm>
          <a:off x="11889105" y="1889760"/>
          <a:ext cx="519430" cy="519430"/>
        </a:xfrm>
        <a:prstGeom prst="rect">
          <a:avLst/>
        </a:prstGeom>
      </xdr:spPr>
    </xdr:pic>
  </etc:cellImage>
  <etc:cellImage>
    <xdr:pic>
      <xdr:nvPicPr>
        <xdr:cNvPr id="9" name="ID_C620A616DE16435DA5AD923CCAA14C39"/>
        <xdr:cNvPicPr>
          <a:picLocks noChangeAspect="1"/>
        </xdr:cNvPicPr>
      </xdr:nvPicPr>
      <xdr:blipFill>
        <a:blip r:embed="rId27" r:link="rId14"/>
        <a:stretch>
          <a:fillRect/>
        </a:stretch>
      </xdr:blipFill>
      <xdr:spPr>
        <a:xfrm>
          <a:off x="1029335" y="10596880"/>
          <a:ext cx="557530" cy="558165"/>
        </a:xfrm>
        <a:prstGeom prst="rect">
          <a:avLst/>
        </a:prstGeom>
        <a:noFill/>
        <a:ln>
          <a:noFill/>
        </a:ln>
      </xdr:spPr>
    </xdr:pic>
  </etc:cellImage>
  <etc:cellImage>
    <xdr:pic>
      <xdr:nvPicPr>
        <xdr:cNvPr id="13" name="ID_2E8BCE7562C34FF7BF284F0BCDA13976" descr="速射手"/>
        <xdr:cNvPicPr>
          <a:picLocks noChangeAspect="1"/>
        </xdr:cNvPicPr>
      </xdr:nvPicPr>
      <xdr:blipFill>
        <a:blip r:embed="rId24" r:link="rId14"/>
        <a:stretch>
          <a:fillRect/>
        </a:stretch>
      </xdr:blipFill>
      <xdr:spPr>
        <a:xfrm>
          <a:off x="2720340" y="5905500"/>
          <a:ext cx="708660" cy="531495"/>
        </a:xfrm>
        <a:prstGeom prst="rect">
          <a:avLst/>
        </a:prstGeom>
      </xdr:spPr>
    </xdr:pic>
  </etc:cellImage>
  <etc:cellImage>
    <xdr:pic>
      <xdr:nvPicPr>
        <xdr:cNvPr id="29" name="ID_7CD15F74743E46FAAA8DE619E7F60A33"/>
        <xdr:cNvPicPr>
          <a:picLocks noChangeAspect="1"/>
        </xdr:cNvPicPr>
      </xdr:nvPicPr>
      <xdr:blipFill>
        <a:blip r:embed="rId28" r:link="rId14"/>
        <a:stretch>
          <a:fillRect/>
        </a:stretch>
      </xdr:blipFill>
      <xdr:spPr>
        <a:xfrm>
          <a:off x="4067810" y="10584180"/>
          <a:ext cx="596900" cy="593090"/>
        </a:xfrm>
        <a:prstGeom prst="rect">
          <a:avLst/>
        </a:prstGeom>
        <a:noFill/>
        <a:ln>
          <a:noFill/>
        </a:ln>
      </xdr:spPr>
    </xdr:pic>
  </etc:cellImage>
  <etc:cellImage>
    <xdr:pic>
      <xdr:nvPicPr>
        <xdr:cNvPr id="30" name="ID_B1E05786129C4C0B95CD63EAAEAF3BEF" descr="探戈"/>
        <xdr:cNvPicPr>
          <a:picLocks noChangeAspect="1"/>
        </xdr:cNvPicPr>
      </xdr:nvPicPr>
      <xdr:blipFill>
        <a:blip r:embed="rId29"/>
        <a:stretch>
          <a:fillRect/>
        </a:stretch>
      </xdr:blipFill>
      <xdr:spPr>
        <a:xfrm>
          <a:off x="11729720" y="5920740"/>
          <a:ext cx="600075" cy="601980"/>
        </a:xfrm>
        <a:prstGeom prst="rect">
          <a:avLst/>
        </a:prstGeom>
      </xdr:spPr>
    </xdr:pic>
  </etc:cellImage>
  <etc:cellImage>
    <xdr:pic>
      <xdr:nvPicPr>
        <xdr:cNvPr id="32" name="ID_708F5A04DB7D478A9F095970DBE381BC"/>
        <xdr:cNvPicPr>
          <a:picLocks noChangeAspect="1"/>
        </xdr:cNvPicPr>
      </xdr:nvPicPr>
      <xdr:blipFill>
        <a:blip r:embed="rId30" r:link="rId14"/>
        <a:stretch>
          <a:fillRect/>
        </a:stretch>
      </xdr:blipFill>
      <xdr:spPr>
        <a:xfrm>
          <a:off x="1021080" y="10373360"/>
          <a:ext cx="586105" cy="583565"/>
        </a:xfrm>
        <a:prstGeom prst="rect">
          <a:avLst/>
        </a:prstGeom>
        <a:noFill/>
        <a:ln>
          <a:noFill/>
        </a:ln>
      </xdr:spPr>
    </xdr:pic>
  </etc:cellImage>
  <etc:cellImage>
    <xdr:pic>
      <xdr:nvPicPr>
        <xdr:cNvPr id="31" name="ID_4DA85EF7DBBC423494A691E5A7349D9A" descr="3乘3"/>
        <xdr:cNvPicPr>
          <a:picLocks noChangeAspect="1"/>
        </xdr:cNvPicPr>
      </xdr:nvPicPr>
      <xdr:blipFill>
        <a:blip r:embed="rId23"/>
        <a:stretch>
          <a:fillRect/>
        </a:stretch>
      </xdr:blipFill>
      <xdr:spPr>
        <a:xfrm>
          <a:off x="11862435" y="1127125"/>
          <a:ext cx="741680" cy="734695"/>
        </a:xfrm>
        <a:prstGeom prst="rect">
          <a:avLst/>
        </a:prstGeom>
      </xdr:spPr>
    </xdr:pic>
  </etc:cellImage>
  <etc:cellImage>
    <xdr:pic>
      <xdr:nvPicPr>
        <xdr:cNvPr id="33" name="ID_4D09369D8C254A39AC008E51A5813136" descr="周围12格"/>
        <xdr:cNvPicPr>
          <a:picLocks noChangeAspect="1"/>
        </xdr:cNvPicPr>
      </xdr:nvPicPr>
      <xdr:blipFill>
        <a:blip r:embed="rId22" r:link="rId14"/>
        <a:stretch>
          <a:fillRect/>
        </a:stretch>
      </xdr:blipFill>
      <xdr:spPr>
        <a:xfrm>
          <a:off x="8793480" y="4034790"/>
          <a:ext cx="1240155" cy="1230630"/>
        </a:xfrm>
        <a:prstGeom prst="rect">
          <a:avLst/>
        </a:prstGeom>
      </xdr:spPr>
    </xdr:pic>
  </etc:cellImage>
  <etc:cellImage>
    <xdr:pic>
      <xdr:nvPicPr>
        <xdr:cNvPr id="34" name="ID_AC6EBA99344C43179B94640CF550E68D" descr="5乘1"/>
        <xdr:cNvPicPr>
          <a:picLocks noChangeAspect="1"/>
        </xdr:cNvPicPr>
      </xdr:nvPicPr>
      <xdr:blipFill>
        <a:blip r:embed="rId31"/>
        <a:stretch>
          <a:fillRect/>
        </a:stretch>
      </xdr:blipFill>
      <xdr:spPr>
        <a:xfrm>
          <a:off x="5728335" y="3425825"/>
          <a:ext cx="1488440" cy="244475"/>
        </a:xfrm>
        <a:prstGeom prst="rect">
          <a:avLst/>
        </a:prstGeom>
      </xdr:spPr>
    </xdr:pic>
  </etc:cellImage>
  <etc:cellImage>
    <xdr:pic>
      <xdr:nvPicPr>
        <xdr:cNvPr id="36" name="ID_EAE70A7B83884CF885EC1EE078CC6FDB" descr="投掷手"/>
        <xdr:cNvPicPr>
          <a:picLocks noChangeAspect="1"/>
        </xdr:cNvPicPr>
      </xdr:nvPicPr>
      <xdr:blipFill>
        <a:blip r:embed="rId32"/>
        <a:stretch>
          <a:fillRect/>
        </a:stretch>
      </xdr:blipFill>
      <xdr:spPr>
        <a:xfrm>
          <a:off x="11862435" y="3425825"/>
          <a:ext cx="1240155" cy="1227455"/>
        </a:xfrm>
        <a:prstGeom prst="rect">
          <a:avLst/>
        </a:prstGeom>
      </xdr:spPr>
    </xdr:pic>
  </etc:cellImage>
  <etc:cellImage>
    <xdr:pic>
      <xdr:nvPicPr>
        <xdr:cNvPr id="37" name="ID_BFFED469CEEA4E5693156E4AB12B41C6" descr="行医"/>
        <xdr:cNvPicPr>
          <a:picLocks noChangeAspect="1"/>
        </xdr:cNvPicPr>
      </xdr:nvPicPr>
      <xdr:blipFill>
        <a:blip r:embed="rId20" r:link="rId14"/>
        <a:stretch>
          <a:fillRect/>
        </a:stretch>
      </xdr:blipFill>
      <xdr:spPr>
        <a:xfrm>
          <a:off x="2659380" y="5723255"/>
          <a:ext cx="991235" cy="1229995"/>
        </a:xfrm>
        <a:prstGeom prst="rect">
          <a:avLst/>
        </a:prstGeom>
      </xdr:spPr>
    </xdr:pic>
  </etc:cellImage>
  <etc:cellImage>
    <xdr:pic>
      <xdr:nvPicPr>
        <xdr:cNvPr id="39" name="ID_086579A3AB35453491C9C26B7DB57C3A"/>
        <xdr:cNvPicPr>
          <a:picLocks noChangeAspect="1"/>
        </xdr:cNvPicPr>
      </xdr:nvPicPr>
      <xdr:blipFill>
        <a:blip r:embed="rId33" r:link="rId14"/>
        <a:stretch>
          <a:fillRect/>
        </a:stretch>
      </xdr:blipFill>
      <xdr:spPr>
        <a:xfrm>
          <a:off x="8797290" y="8074025"/>
          <a:ext cx="577215" cy="584200"/>
        </a:xfrm>
        <a:prstGeom prst="rect">
          <a:avLst/>
        </a:prstGeom>
        <a:noFill/>
        <a:ln>
          <a:noFill/>
        </a:ln>
      </xdr:spPr>
    </xdr:pic>
  </etc:cellImage>
  <etc:cellImage>
    <xdr:pic>
      <xdr:nvPicPr>
        <xdr:cNvPr id="35" name="ID_B3A491DE7E8941C6A0241DBE0FC44504" descr="5乘5去4"/>
        <xdr:cNvPicPr>
          <a:picLocks noChangeAspect="1"/>
        </xdr:cNvPicPr>
      </xdr:nvPicPr>
      <xdr:blipFill>
        <a:blip r:embed="rId25"/>
        <a:stretch>
          <a:fillRect/>
        </a:stretch>
      </xdr:blipFill>
      <xdr:spPr>
        <a:xfrm>
          <a:off x="5731510" y="3420745"/>
          <a:ext cx="1233805" cy="1243330"/>
        </a:xfrm>
        <a:prstGeom prst="rect">
          <a:avLst/>
        </a:prstGeom>
      </xdr:spPr>
    </xdr:pic>
  </etc:cellImage>
  <etc:cellImage>
    <xdr:pic>
      <xdr:nvPicPr>
        <xdr:cNvPr id="40" name="ID_ACC15541812E4B109706FB64626B1893"/>
        <xdr:cNvPicPr>
          <a:picLocks noChangeAspect="1"/>
        </xdr:cNvPicPr>
      </xdr:nvPicPr>
      <xdr:blipFill>
        <a:blip r:embed="rId34" r:link="rId14"/>
        <a:stretch>
          <a:fillRect/>
        </a:stretch>
      </xdr:blipFill>
      <xdr:spPr>
        <a:xfrm>
          <a:off x="15151100" y="8013700"/>
          <a:ext cx="361950" cy="361950"/>
        </a:xfrm>
        <a:prstGeom prst="rect">
          <a:avLst/>
        </a:prstGeom>
        <a:noFill/>
        <a:ln w="9525">
          <a:noFill/>
        </a:ln>
      </xdr:spPr>
    </xdr:pic>
  </etc:cellImage>
  <etc:cellImage>
    <xdr:pic>
      <xdr:nvPicPr>
        <xdr:cNvPr id="41" name="ID_9F2FD3ED9CB04CBFAA4019308646EBF0" descr="圣域"/>
        <xdr:cNvPicPr>
          <a:picLocks noChangeAspect="1"/>
        </xdr:cNvPicPr>
      </xdr:nvPicPr>
      <xdr:blipFill>
        <a:blip r:embed="rId35"/>
        <a:stretch>
          <a:fillRect/>
        </a:stretch>
      </xdr:blipFill>
      <xdr:spPr>
        <a:xfrm>
          <a:off x="11865610" y="5720715"/>
          <a:ext cx="1233805" cy="1242060"/>
        </a:xfrm>
        <a:prstGeom prst="rect">
          <a:avLst/>
        </a:prstGeom>
      </xdr:spPr>
    </xdr:pic>
  </etc:cellImage>
  <etc:cellImage>
    <xdr:pic>
      <xdr:nvPicPr>
        <xdr:cNvPr id="42" name="ID_8C05BDD051CD4B0C8CB42C78E22EF568"/>
        <xdr:cNvPicPr>
          <a:picLocks noChangeAspect="1"/>
        </xdr:cNvPicPr>
      </xdr:nvPicPr>
      <xdr:blipFill>
        <a:blip r:embed="rId36" r:link="rId14"/>
        <a:stretch>
          <a:fillRect/>
        </a:stretch>
      </xdr:blipFill>
      <xdr:spPr>
        <a:xfrm>
          <a:off x="1021080" y="10420350"/>
          <a:ext cx="537210" cy="537845"/>
        </a:xfrm>
        <a:prstGeom prst="rect">
          <a:avLst/>
        </a:prstGeom>
        <a:noFill/>
        <a:ln>
          <a:noFill/>
        </a:ln>
      </xdr:spPr>
    </xdr:pic>
  </etc:cellImage>
  <etc:cellImage>
    <xdr:pic>
      <xdr:nvPicPr>
        <xdr:cNvPr id="43" name="ID_8B7D284C69374EDDBB980F4407FCC5FA"/>
        <xdr:cNvPicPr>
          <a:picLocks noChangeAspect="1"/>
        </xdr:cNvPicPr>
      </xdr:nvPicPr>
      <xdr:blipFill>
        <a:blip r:embed="rId37" r:link="rId14"/>
        <a:stretch>
          <a:fillRect/>
        </a:stretch>
      </xdr:blipFill>
      <xdr:spPr>
        <a:xfrm>
          <a:off x="2839720" y="10476865"/>
          <a:ext cx="729615" cy="730250"/>
        </a:xfrm>
        <a:prstGeom prst="rect">
          <a:avLst/>
        </a:prstGeom>
        <a:noFill/>
        <a:ln>
          <a:noFill/>
        </a:ln>
      </xdr:spPr>
    </xdr:pic>
  </etc:cellImage>
  <etc:cellImage>
    <xdr:pic>
      <xdr:nvPicPr>
        <xdr:cNvPr id="44" name="ID_F3AFEE223CA74EBC9DC67BEE17AE66C7" descr="中心32"/>
        <xdr:cNvPicPr>
          <a:picLocks noChangeAspect="1"/>
        </xdr:cNvPicPr>
      </xdr:nvPicPr>
      <xdr:blipFill>
        <a:blip r:embed="rId38"/>
        <a:stretch>
          <a:fillRect/>
        </a:stretch>
      </xdr:blipFill>
      <xdr:spPr>
        <a:xfrm>
          <a:off x="20201890" y="6649085"/>
          <a:ext cx="667385" cy="664210"/>
        </a:xfrm>
        <a:prstGeom prst="rect">
          <a:avLst/>
        </a:prstGeom>
      </xdr:spPr>
    </xdr:pic>
  </etc:cellImage>
  <etc:cellImage>
    <xdr:pic>
      <xdr:nvPicPr>
        <xdr:cNvPr id="46" name="ID_93F3FB644C0745119C79A8F3FA48C434"/>
        <xdr:cNvPicPr>
          <a:picLocks noChangeAspect="1"/>
        </xdr:cNvPicPr>
      </xdr:nvPicPr>
      <xdr:blipFill>
        <a:blip r:embed="rId39" r:link="rId14"/>
        <a:stretch>
          <a:fillRect/>
        </a:stretch>
      </xdr:blipFill>
      <xdr:spPr>
        <a:xfrm>
          <a:off x="1033145" y="10434955"/>
          <a:ext cx="597535" cy="600710"/>
        </a:xfrm>
        <a:prstGeom prst="rect">
          <a:avLst/>
        </a:prstGeom>
        <a:noFill/>
        <a:ln>
          <a:noFill/>
        </a:ln>
      </xdr:spPr>
    </xdr:pic>
  </etc:cellImage>
  <etc:cellImage>
    <xdr:pic>
      <xdr:nvPicPr>
        <xdr:cNvPr id="47" name="ID_2C838D56930647D499947BDBEBC93998" descr="阶梯2"/>
        <xdr:cNvPicPr>
          <a:picLocks noChangeAspect="1"/>
        </xdr:cNvPicPr>
      </xdr:nvPicPr>
      <xdr:blipFill>
        <a:blip r:embed="rId22" r:link="rId14"/>
        <a:stretch>
          <a:fillRect/>
        </a:stretch>
      </xdr:blipFill>
      <xdr:spPr>
        <a:xfrm>
          <a:off x="2827020" y="10377170"/>
          <a:ext cx="583565" cy="588010"/>
        </a:xfrm>
        <a:prstGeom prst="rect">
          <a:avLst/>
        </a:prstGeom>
      </xdr:spPr>
    </xdr:pic>
  </etc:cellImage>
  <etc:cellImage>
    <xdr:pic>
      <xdr:nvPicPr>
        <xdr:cNvPr id="49" name="ID_1B32C14E9F9C4B27B3DB7816969A0039" descr="投掷手"/>
        <xdr:cNvPicPr>
          <a:picLocks noChangeAspect="1"/>
        </xdr:cNvPicPr>
      </xdr:nvPicPr>
      <xdr:blipFill>
        <a:blip r:embed="rId32"/>
        <a:stretch>
          <a:fillRect/>
        </a:stretch>
      </xdr:blipFill>
      <xdr:spPr>
        <a:xfrm>
          <a:off x="8969375" y="1160145"/>
          <a:ext cx="534670" cy="534670"/>
        </a:xfrm>
        <a:prstGeom prst="rect">
          <a:avLst/>
        </a:prstGeom>
      </xdr:spPr>
    </xdr:pic>
  </etc:cellImage>
  <etc:cellImage>
    <xdr:pic>
      <xdr:nvPicPr>
        <xdr:cNvPr id="50" name="ID_95BDDFAFD3144E6CB47CF1022FDAD269" descr="距离2"/>
        <xdr:cNvPicPr>
          <a:picLocks noChangeAspect="1"/>
        </xdr:cNvPicPr>
      </xdr:nvPicPr>
      <xdr:blipFill>
        <a:blip r:embed="rId25"/>
        <a:stretch>
          <a:fillRect/>
        </a:stretch>
      </xdr:blipFill>
      <xdr:spPr>
        <a:xfrm>
          <a:off x="2613660" y="3423920"/>
          <a:ext cx="1238250" cy="1238250"/>
        </a:xfrm>
        <a:prstGeom prst="rect">
          <a:avLst/>
        </a:prstGeom>
      </xdr:spPr>
    </xdr:pic>
  </etc:cellImage>
  <etc:cellImage>
    <xdr:pic>
      <xdr:nvPicPr>
        <xdr:cNvPr id="51" name="ID_F7AD6FBB1CC54AECBDFCDBFA6BE6CA38" descr="秘术师"/>
        <xdr:cNvPicPr>
          <a:picLocks noChangeAspect="1"/>
        </xdr:cNvPicPr>
      </xdr:nvPicPr>
      <xdr:blipFill>
        <a:blip r:embed="rId40"/>
        <a:stretch>
          <a:fillRect/>
        </a:stretch>
      </xdr:blipFill>
      <xdr:spPr>
        <a:xfrm>
          <a:off x="2750820" y="5798820"/>
          <a:ext cx="701040" cy="525780"/>
        </a:xfrm>
        <a:prstGeom prst="rect">
          <a:avLst/>
        </a:prstGeom>
      </xdr:spPr>
    </xdr:pic>
  </etc:cellImage>
  <etc:cellImage>
    <xdr:pic>
      <xdr:nvPicPr>
        <xdr:cNvPr id="52" name="ID_AD63FF364B0D4B8CAACC6E325B4DE005" descr="镜花水月"/>
        <xdr:cNvPicPr>
          <a:picLocks noChangeAspect="1"/>
        </xdr:cNvPicPr>
      </xdr:nvPicPr>
      <xdr:blipFill>
        <a:blip r:embed="rId35"/>
        <a:stretch>
          <a:fillRect/>
        </a:stretch>
      </xdr:blipFill>
      <xdr:spPr>
        <a:xfrm>
          <a:off x="5731510" y="8020050"/>
          <a:ext cx="1233805" cy="1240155"/>
        </a:xfrm>
        <a:prstGeom prst="rect">
          <a:avLst/>
        </a:prstGeom>
      </xdr:spPr>
    </xdr:pic>
  </etc:cellImage>
  <etc:cellImage>
    <xdr:pic>
      <xdr:nvPicPr>
        <xdr:cNvPr id="53" name="ID_FCF9FE4B7C544D50897A75B2EDB1D3A2" descr="身前3乘5"/>
        <xdr:cNvPicPr>
          <a:picLocks noChangeAspect="1"/>
        </xdr:cNvPicPr>
      </xdr:nvPicPr>
      <xdr:blipFill>
        <a:blip r:embed="rId41"/>
        <a:stretch>
          <a:fillRect/>
        </a:stretch>
      </xdr:blipFill>
      <xdr:spPr>
        <a:xfrm>
          <a:off x="2665730" y="5720715"/>
          <a:ext cx="1232535" cy="744855"/>
        </a:xfrm>
        <a:prstGeom prst="rect">
          <a:avLst/>
        </a:prstGeom>
      </xdr:spPr>
    </xdr:pic>
  </etc:cellImage>
  <etc:cellImage>
    <xdr:pic>
      <xdr:nvPicPr>
        <xdr:cNvPr id="54" name="ID_5D365D682E45441DA6E06D89CEDA661D" descr="upload_post_object_v2_2030158078"/>
        <xdr:cNvPicPr/>
      </xdr:nvPicPr>
      <xdr:blipFill>
        <a:blip r:embed="rId25"/>
        <a:stretch>
          <a:fillRect/>
        </a:stretch>
      </xdr:blipFill>
      <xdr:spPr>
        <a:xfrm>
          <a:off x="0" y="0"/>
          <a:ext cx="990600" cy="990600"/>
        </a:xfrm>
        <a:prstGeom prst="rect">
          <a:avLst/>
        </a:prstGeom>
      </xdr:spPr>
    </xdr:pic>
  </etc:cellImage>
  <etc:cellImage>
    <xdr:pic>
      <xdr:nvPicPr>
        <xdr:cNvPr id="55" name="ID_53CA36B191B04AB7AD2CB70DD7FFCABD" descr="upload_post_object_v2_1588733222"/>
        <xdr:cNvPicPr/>
      </xdr:nvPicPr>
      <xdr:blipFill>
        <a:blip r:embed="rId42"/>
        <a:stretch>
          <a:fillRect/>
        </a:stretch>
      </xdr:blipFill>
      <xdr:spPr>
        <a:xfrm>
          <a:off x="0" y="0"/>
          <a:ext cx="1402080" cy="1402080"/>
        </a:xfrm>
        <a:prstGeom prst="rect">
          <a:avLst/>
        </a:prstGeom>
      </xdr:spPr>
    </xdr:pic>
  </etc:cellImage>
  <etc:cellImage>
    <xdr:pic>
      <xdr:nvPicPr>
        <xdr:cNvPr id="57" name="ID_770D6385ECD841C0A2279EF988E3F447" descr="upload_post_object_v2_3187678996"/>
        <xdr:cNvPicPr/>
      </xdr:nvPicPr>
      <xdr:blipFill>
        <a:blip r:embed="rId43"/>
        <a:stretch>
          <a:fillRect/>
        </a:stretch>
      </xdr:blipFill>
      <xdr:spPr>
        <a:xfrm>
          <a:off x="0" y="0"/>
          <a:ext cx="198120" cy="594360"/>
        </a:xfrm>
        <a:prstGeom prst="rect">
          <a:avLst/>
        </a:prstGeom>
      </xdr:spPr>
    </xdr:pic>
  </etc:cellImage>
  <etc:cellImage>
    <xdr:pic>
      <xdr:nvPicPr>
        <xdr:cNvPr id="38" name="ID_706ABC842E224EFFB7936338B64C780A" descr="upload_post_object_v2_1585279084"/>
        <xdr:cNvPicPr/>
      </xdr:nvPicPr>
      <xdr:blipFill>
        <a:blip r:embed="rId43"/>
        <a:stretch>
          <a:fillRect/>
        </a:stretch>
      </xdr:blipFill>
      <xdr:spPr>
        <a:xfrm>
          <a:off x="0" y="0"/>
          <a:ext cx="198120" cy="594360"/>
        </a:xfrm>
        <a:prstGeom prst="rect">
          <a:avLst/>
        </a:prstGeom>
      </xdr:spPr>
    </xdr:pic>
  </etc:cellImage>
  <etc:cellImage>
    <xdr:pic>
      <xdr:nvPicPr>
        <xdr:cNvPr id="61" name="ID_2841082023F74F2782B714FBAF7B33EE" descr="upload_post_object_v2_3411117981"/>
        <xdr:cNvPicPr/>
      </xdr:nvPicPr>
      <xdr:blipFill>
        <a:blip r:embed="rId44"/>
        <a:stretch>
          <a:fillRect/>
        </a:stretch>
      </xdr:blipFill>
      <xdr:spPr>
        <a:xfrm>
          <a:off x="0" y="0"/>
          <a:ext cx="495300" cy="495300"/>
        </a:xfrm>
        <a:prstGeom prst="rect">
          <a:avLst/>
        </a:prstGeom>
      </xdr:spPr>
    </xdr:pic>
  </etc:cellImage>
  <etc:cellImage>
    <xdr:pic>
      <xdr:nvPicPr>
        <xdr:cNvPr id="63" name="ID_8F89D06D46E945AF859E64B85FC1A5F4" descr="upload_post_object_v2_4263374960"/>
        <xdr:cNvPicPr/>
      </xdr:nvPicPr>
      <xdr:blipFill>
        <a:blip r:embed="rId22" r:link="rId14"/>
        <a:stretch>
          <a:fillRect/>
        </a:stretch>
      </xdr:blipFill>
      <xdr:spPr>
        <a:xfrm>
          <a:off x="0" y="0"/>
          <a:ext cx="825500" cy="825500"/>
        </a:xfrm>
        <a:prstGeom prst="rect">
          <a:avLst/>
        </a:prstGeom>
      </xdr:spPr>
    </xdr:pic>
  </etc:cellImage>
  <etc:cellImage>
    <xdr:pic>
      <xdr:nvPicPr>
        <xdr:cNvPr id="60" name="ID_AFC600566F1649FFBEC3E8F03C14080A" descr="小火龙"/>
        <xdr:cNvPicPr>
          <a:picLocks noChangeAspect="1"/>
        </xdr:cNvPicPr>
      </xdr:nvPicPr>
      <xdr:blipFill>
        <a:blip r:embed="rId31"/>
        <a:stretch>
          <a:fillRect/>
        </a:stretch>
      </xdr:blipFill>
      <xdr:spPr>
        <a:xfrm>
          <a:off x="2659380" y="3425825"/>
          <a:ext cx="1488440" cy="244475"/>
        </a:xfrm>
        <a:prstGeom prst="rect">
          <a:avLst/>
        </a:prstGeom>
      </xdr:spPr>
    </xdr:pic>
  </etc:cellImage>
  <etc:cellImage>
    <xdr:pic>
      <xdr:nvPicPr>
        <xdr:cNvPr id="45" name="ID_386A33E0F9634CCB9F6901D3FAF32E8A" descr="aa"/>
        <xdr:cNvPicPr>
          <a:picLocks noChangeAspect="1"/>
        </xdr:cNvPicPr>
      </xdr:nvPicPr>
      <xdr:blipFill>
        <a:blip r:embed="rId45"/>
        <a:stretch>
          <a:fillRect/>
        </a:stretch>
      </xdr:blipFill>
      <xdr:spPr>
        <a:xfrm>
          <a:off x="18018125" y="5720715"/>
          <a:ext cx="1242695" cy="1243965"/>
        </a:xfrm>
        <a:prstGeom prst="rect">
          <a:avLst/>
        </a:prstGeom>
      </xdr:spPr>
    </xdr:pic>
  </etc:cellImage>
  <etc:cellImage>
    <xdr:pic>
      <xdr:nvPicPr>
        <xdr:cNvPr id="58" name="ID_C349134FB39C4FE3A4DACB0D25287E0B"/>
        <xdr:cNvPicPr>
          <a:picLocks noChangeAspect="1"/>
        </xdr:cNvPicPr>
      </xdr:nvPicPr>
      <xdr:blipFill>
        <a:blip r:embed="rId46"/>
        <a:stretch>
          <a:fillRect/>
        </a:stretch>
      </xdr:blipFill>
      <xdr:spPr>
        <a:xfrm>
          <a:off x="621030" y="10331450"/>
          <a:ext cx="714375" cy="714375"/>
        </a:xfrm>
        <a:prstGeom prst="rect">
          <a:avLst/>
        </a:prstGeom>
        <a:noFill/>
        <a:ln w="9525">
          <a:noFill/>
        </a:ln>
      </xdr:spPr>
    </xdr:pic>
  </etc:cellImage>
</etc:cellImages>
</file>

<file path=xl/sharedStrings.xml><?xml version="1.0" encoding="utf-8"?>
<sst xmlns="http://schemas.openxmlformats.org/spreadsheetml/2006/main" count="2588" uniqueCount="791">
  <si>
    <t>近卫</t>
  </si>
  <si>
    <t>GUARD</t>
  </si>
  <si>
    <t>风格描述</t>
  </si>
  <si>
    <t>天赋</t>
  </si>
  <si>
    <t>一技能</t>
  </si>
  <si>
    <t>二技能</t>
  </si>
  <si>
    <t>三技能</t>
  </si>
  <si>
    <t>被动技能</t>
  </si>
  <si>
    <t>额外技能</t>
  </si>
  <si>
    <r>
      <rPr>
        <b/>
        <sz val="20"/>
        <color theme="0" tint="-0.05"/>
        <rFont val="微软雅黑"/>
        <charset val="134"/>
      </rPr>
      <t>无畏者</t>
    </r>
    <r>
      <rPr>
        <b/>
        <sz val="16"/>
        <color theme="0" tint="-0.05"/>
        <rFont val="微软雅黑"/>
        <charset val="134"/>
      </rPr>
      <t xml:space="preserve">
非法术</t>
    </r>
  </si>
  <si>
    <t>精英化阶段零</t>
  </si>
  <si>
    <r>
      <rPr>
        <sz val="10.5"/>
        <color theme="1"/>
        <rFont val="宋体"/>
        <charset val="134"/>
      </rPr>
      <t>在这一阶段，无畏者已经表现出了相较于常人更为明显和突出的单兵作战能力。或许是近卫学院刚毕业的优秀新生，或许是佣兵团伙中初入行的底层佣兵，也或许是从一些武术学家出来游学的小辈，甚至是萨尔贡雨林中崇尚武力的阿达克利斯</t>
    </r>
    <r>
      <rPr>
        <sz val="10.5"/>
        <color theme="1"/>
        <rFont val="Calibri"/>
        <charset val="134"/>
      </rPr>
      <t>......</t>
    </r>
    <r>
      <rPr>
        <sz val="10.5"/>
        <color theme="1"/>
        <rFont val="宋体"/>
        <charset val="134"/>
      </rPr>
      <t>无论你是什么身份，你都已经在战斗方面积累了一些经验</t>
    </r>
    <r>
      <rPr>
        <sz val="10.5"/>
        <color theme="1"/>
        <rFont val="Calibri"/>
        <charset val="134"/>
      </rPr>
      <t>——</t>
    </r>
    <r>
      <rPr>
        <sz val="10.5"/>
        <color theme="1"/>
        <rFont val="宋体"/>
        <charset val="134"/>
      </rPr>
      <t>哪怕只是纸面上的经验，也足以让你在普通人中脱颖而出。
在经久的锻炼下，相比于普通人，你的身躯更加健壮，你的臂膀更加有力，学习的战斗技巧虽然青涩，但也可以更加轻松地做到一些普通人难以做到的一些事情：搬运重物，长途跋涉，讨伐一些低级野兽的巢穴，击退来犯的歹人。在同阶级的对抗中，你也占有优势，或许你还无法处理敌人一拥而上，但在单挑中你将从不怯场。</t>
    </r>
  </si>
  <si>
    <r>
      <rPr>
        <b/>
        <sz val="11"/>
        <rFont val="微软雅黑"/>
        <charset val="134"/>
      </rPr>
      <t>健步如飞：</t>
    </r>
    <r>
      <rPr>
        <sz val="11"/>
        <rFont val="微软雅黑"/>
        <charset val="134"/>
      </rPr>
      <t xml:space="preserve">
通过移动预备获得的移动位+1
</t>
    </r>
  </si>
  <si>
    <r>
      <rPr>
        <b/>
        <sz val="11"/>
        <rFont val="微软雅黑"/>
        <charset val="134"/>
      </rPr>
      <t>跃击:</t>
    </r>
    <r>
      <rPr>
        <sz val="11"/>
        <rFont val="微软雅黑"/>
        <charset val="134"/>
      </rPr>
      <t xml:space="preserve">
消耗主要行动与3SP
移动至释放范围内的一个战术格，攻击一次。
若目标有【标记】，攻击检定时获得一个奖励骰。</t>
    </r>
  </si>
  <si>
    <r>
      <rPr>
        <b/>
        <sz val="11"/>
        <rFont val="微软雅黑"/>
        <charset val="134"/>
      </rPr>
      <t>剑柄打击：</t>
    </r>
    <r>
      <rPr>
        <sz val="11"/>
        <rFont val="微软雅黑"/>
        <charset val="134"/>
      </rPr>
      <t xml:space="preserve">
消耗快速行动
轻击一次，对目标施加【标记】</t>
    </r>
  </si>
  <si>
    <r>
      <rPr>
        <b/>
        <sz val="11"/>
        <rFont val="微软雅黑"/>
        <charset val="134"/>
      </rPr>
      <t>箭步：</t>
    </r>
    <r>
      <rPr>
        <sz val="11"/>
        <rFont val="微软雅黑"/>
        <charset val="134"/>
      </rPr>
      <t xml:space="preserve">
消耗快速行动与3SP
突袭3格。</t>
    </r>
  </si>
  <si>
    <r>
      <rPr>
        <b/>
        <sz val="11"/>
        <rFont val="微软雅黑"/>
        <charset val="134"/>
      </rPr>
      <t>凝神：</t>
    </r>
    <r>
      <rPr>
        <sz val="11"/>
        <rFont val="微软雅黑"/>
        <charset val="134"/>
      </rPr>
      <t xml:space="preserve">
攻击时，若消耗了主要行动，获得一个奖励骰。</t>
    </r>
  </si>
  <si>
    <r>
      <rPr>
        <b/>
        <sz val="11"/>
        <rFont val="微软雅黑"/>
        <charset val="134"/>
      </rPr>
      <t xml:space="preserve">重整旗鼓：
</t>
    </r>
    <r>
      <rPr>
        <sz val="11"/>
        <rFont val="微软雅黑"/>
        <charset val="134"/>
      </rPr>
      <t>消耗主要行动与3SP
恢复16HP。
每进入一个新的精英化阶段，额外恢复8HP。</t>
    </r>
  </si>
  <si>
    <t>分支特性</t>
  </si>
  <si>
    <t>穿戴重甲，具有高生命值
每个回合开始时，恢复2SP
每进入一个新的精英化阶段，额外恢复1SP</t>
  </si>
  <si>
    <t>精英化阶段一</t>
  </si>
  <si>
    <t>在这一阶段，无畏者已经经历过多次战斗，积累了相对丰富的经验，已经从初出茅庐的新人成长为值得信赖的老将。或许是已经参与过数次战斗而得到军衔晋升的士兵，或许是武装团伙中因突出表现而被提拔为干部甚至成为头目，或许完成过数次任务而成为了部分中小型势力的精锐单位......你的单兵作战能力已经领先于和你同一层面的大部分人，而你也完全担当的起“佼佼者”这个名号。
你的身体机能达到了一个新的境界，大部分寻常所见的重物你已经可以徒手抬起，普通的大门或墙壁也无法阻挡你的蛮力破坏，挨在一起的楼与楼之间的距离可以被你一跃而过，战斗技巧的特殊性更让你在同阶级的战斗中从不处于劣势——仅你一人便可以完成一些团伙也做不到的事情，在泰拉普通人眼里你几乎可称得上是超人，而同样在与你一样以战斗为生的人眼里你也已经不是无名小卒，而是不得不注意的威胁。</t>
  </si>
  <si>
    <r>
      <rPr>
        <b/>
        <sz val="11"/>
        <rFont val="微软雅黑"/>
        <charset val="134"/>
      </rPr>
      <t>迅捷出击：</t>
    </r>
    <r>
      <rPr>
        <sz val="11"/>
        <rFont val="微软雅黑"/>
        <charset val="134"/>
      </rPr>
      <t xml:space="preserve">
在首个回合开始时，额外获得
5个移动位</t>
    </r>
  </si>
  <si>
    <r>
      <rPr>
        <b/>
        <sz val="11"/>
        <rFont val="微软雅黑"/>
        <charset val="134"/>
      </rPr>
      <t>赐死：</t>
    </r>
    <r>
      <rPr>
        <sz val="11"/>
        <rFont val="微软雅黑"/>
        <charset val="134"/>
      </rPr>
      <t xml:space="preserve">
消耗主要行动与5SP
攻击两次
若目标有【标记】，则该技艺的攻击检定获得骰面升级。</t>
    </r>
  </si>
  <si>
    <r>
      <rPr>
        <b/>
        <sz val="11"/>
        <rFont val="微软雅黑"/>
        <charset val="134"/>
      </rPr>
      <t>愤怒：</t>
    </r>
    <r>
      <rPr>
        <sz val="11"/>
        <rFont val="微软雅黑"/>
        <charset val="134"/>
      </rPr>
      <t xml:space="preserve">
消耗快速行动与2SP
获得3个移动位
攻击检定获得骰面升级，持续至回合结束一次。</t>
    </r>
  </si>
  <si>
    <r>
      <rPr>
        <b/>
        <sz val="11"/>
        <rFont val="微软雅黑"/>
        <charset val="134"/>
      </rPr>
      <t>平静：</t>
    </r>
    <r>
      <rPr>
        <sz val="11"/>
        <rFont val="微软雅黑"/>
        <charset val="134"/>
      </rPr>
      <t xml:space="preserve">
消耗快速行动
清除自身任意一个状态。</t>
    </r>
  </si>
  <si>
    <r>
      <rPr>
        <b/>
        <sz val="11"/>
        <rFont val="微软雅黑"/>
        <charset val="134"/>
      </rPr>
      <t>交锋：</t>
    </r>
    <r>
      <rPr>
        <sz val="11"/>
        <rFont val="微软雅黑"/>
        <charset val="134"/>
      </rPr>
      <t xml:space="preserve">
攻击时，若自身处在目标的正前方，获得骰面升级。</t>
    </r>
  </si>
  <si>
    <r>
      <rPr>
        <b/>
        <sz val="11"/>
        <rFont val="微软雅黑"/>
        <charset val="134"/>
      </rPr>
      <t>绝望突破：</t>
    </r>
    <r>
      <rPr>
        <sz val="11"/>
        <rFont val="微软雅黑"/>
        <charset val="134"/>
      </rPr>
      <t xml:space="preserve">
反应动作
消耗1耐力
清除自身所有状态
每场战斗限一次。</t>
    </r>
  </si>
  <si>
    <t>武器适用
攻击类型</t>
  </si>
  <si>
    <t>伤害骰面为D6的近战物理武器。
通常是各式刀剑，也包括部分长兵。
能够在较近距离发动兼具力量与速度的物理攻击。比起其他武器，更注重使用者的躯体能力。</t>
  </si>
  <si>
    <t>精英化阶段二</t>
  </si>
  <si>
    <t>在这一阶段，无畏者已经历经百战，成为了强大的代名词。或许是率领队伍打赢战役的名将，或许是一些有着响亮名声的武装团体中的领头人之一，甚至是一些国家级势力的精锐单位——你的实力已经站在了泰拉普遍意义上的最高一层。在中小型势力眼中难以解决的麻烦你已可以一人摆平，从听从作战计划的身份到了参与定制作战计划的身份，乃至于自身的个人能力就是一部分作战计划的核心。你的实力有目共睹，你的强大难以掩饰。
你的身体机能已经超越了绝大多数的泰拉人，甚至一部分泰拉生物也比不过你千锤百炼的肉体。你可以从几十层高的楼跳下而毫发无伤，你可以仅凭蛮力便击穿一些较为坚固的墙壁和造物，若你全力投掷一颗小石子也可以扔出堪比弩箭的速度，若你全力奔跑可以凭速度和肉身撞穿一些民用的建筑物。没有人会小觑无畏者的个人能力，乃至于若有人摸清楚你的底细，便必然对你有所防备和针对——绝大部分人不会愿意看见一个这样的无畏者站在自己的对立面。</t>
  </si>
  <si>
    <r>
      <rPr>
        <b/>
        <sz val="11"/>
        <rFont val="微软雅黑"/>
        <charset val="134"/>
      </rPr>
      <t>血战：</t>
    </r>
    <r>
      <rPr>
        <sz val="11"/>
        <rFont val="微软雅黑"/>
        <charset val="134"/>
      </rPr>
      <t xml:space="preserve">
无畏者的生命值归零时，可
消耗1耐力，不进入濒死并立刻清除自身所有状态，使得当前生命值上限减少50%，恢复所有生命值。
所有检定骰面升级，持续至回合结束一次。
每场战斗仅限一次，</t>
    </r>
  </si>
  <si>
    <r>
      <rPr>
        <b/>
        <sz val="11"/>
        <rFont val="微软雅黑"/>
        <charset val="134"/>
      </rPr>
      <t>终结：</t>
    </r>
    <r>
      <rPr>
        <sz val="11"/>
        <rFont val="微软雅黑"/>
        <charset val="134"/>
      </rPr>
      <t xml:space="preserve">
消耗主要行动与7SP
攻击一次。若目标没有【标记】，施加【标记】
若目标有【标记】，则该技艺的攻击会【暴击】。</t>
    </r>
  </si>
  <si>
    <r>
      <rPr>
        <b/>
        <sz val="11"/>
        <rFont val="微软雅黑"/>
        <charset val="134"/>
      </rPr>
      <t>残废打击：</t>
    </r>
    <r>
      <rPr>
        <sz val="11"/>
        <rFont val="微软雅黑"/>
        <charset val="134"/>
      </rPr>
      <t xml:space="preserve">
消耗快速行动
轻击一次，对目标施加【沉默】或【战栗】或【震颤】，持续至目标下个回合结束。</t>
    </r>
  </si>
  <si>
    <r>
      <rPr>
        <b/>
        <sz val="11"/>
        <rFont val="微软雅黑"/>
        <charset val="134"/>
      </rPr>
      <t>战术奔袭：</t>
    </r>
    <r>
      <rPr>
        <sz val="11"/>
        <rFont val="微软雅黑"/>
        <charset val="134"/>
      </rPr>
      <t xml:space="preserve">
消耗1耐力，获得5个移动位，每回合限一次。</t>
    </r>
  </si>
  <si>
    <r>
      <rPr>
        <b/>
        <sz val="11"/>
        <rFont val="微软雅黑"/>
        <charset val="134"/>
      </rPr>
      <t>专注：</t>
    </r>
    <r>
      <rPr>
        <sz val="11"/>
        <rFont val="微软雅黑"/>
        <charset val="134"/>
      </rPr>
      <t xml:space="preserve">
自身攻击范围之外的目标对自身造成伤害时，获得一个惩罚骰</t>
    </r>
  </si>
  <si>
    <r>
      <rPr>
        <b/>
        <sz val="11"/>
        <rFont val="微软雅黑"/>
        <charset val="134"/>
      </rPr>
      <t>岿然不动：</t>
    </r>
    <r>
      <rPr>
        <sz val="11"/>
        <rFont val="微软雅黑"/>
        <charset val="134"/>
      </rPr>
      <t xml:space="preserve">
消耗主要行动，7SP与1耐力
获得【护盾4】</t>
    </r>
  </si>
  <si>
    <t>模组阶段</t>
  </si>
  <si>
    <t>原力</t>
  </si>
  <si>
    <t>FORCE</t>
  </si>
  <si>
    <t>撰写人：小半</t>
  </si>
  <si>
    <t>横向施力</t>
  </si>
  <si>
    <t>纵向施力</t>
  </si>
  <si>
    <t>防护术式</t>
  </si>
  <si>
    <t>斗转星移</t>
  </si>
  <si>
    <t>精英化零阶段 被动技艺</t>
  </si>
  <si>
    <t>行动消耗</t>
  </si>
  <si>
    <t>释放范围</t>
  </si>
  <si>
    <t>默认释放范围</t>
  </si>
  <si>
    <t>技艺名称</t>
  </si>
  <si>
    <t>反制策略</t>
  </si>
  <si>
    <t>资源消耗</t>
  </si>
  <si>
    <t>生效
目标</t>
  </si>
  <si>
    <t>单个单位</t>
  </si>
  <si>
    <t>生效目标</t>
  </si>
  <si>
    <t>被动技艺效果</t>
  </si>
  <si>
    <t>施术者的所有仅消耗快速动作（或不消耗）的原力技艺，均可在回合外任意单位的动作前或动作后作为反应动作释放。以此法释放技艺时，消耗的SP+1。同一时点内，仅可触发1次。</t>
  </si>
  <si>
    <t>技艺效果</t>
  </si>
  <si>
    <t>施加【推击5】/【拉近5】。</t>
  </si>
  <si>
    <t>施加【失重4】/【加重4】，持续至施术者下一回合开始。</t>
  </si>
  <si>
    <t>施加【屏障10】。
每进入一个新的精英化阶段，该技艺施加的【屏障】+5。</t>
  </si>
  <si>
    <t>进行1次DC=10×目标重量等级的原力法术检定，若成功，则将目标【拉近6】至释放范围中的另一位置。若对方同意，则在选取目标时，可指定视野内而不是释放范围内的目标。</t>
  </si>
  <si>
    <t>股掌之中</t>
  </si>
  <si>
    <t>归于尘土</t>
  </si>
  <si>
    <t>屏障生成</t>
  </si>
  <si>
    <t>引力乱流</t>
  </si>
  <si>
    <t>精英化一阶段 被动技艺</t>
  </si>
  <si>
    <t>缓释冲击</t>
  </si>
  <si>
    <t>单个战术格</t>
  </si>
  <si>
    <r>
      <rPr>
        <sz val="14"/>
        <color theme="7" tint="-0.5"/>
        <rFont val="微软雅黑"/>
        <charset val="134"/>
      </rPr>
      <t>施术者受到的摔落和撞击伤害减半</t>
    </r>
    <r>
      <rPr>
        <sz val="14"/>
        <color rgb="FF0070C0"/>
        <rFont val="微软雅黑"/>
        <charset val="134"/>
      </rPr>
      <t>，不需要通过【攀爬】即可直接移动进入高台。</t>
    </r>
  </si>
  <si>
    <t>向任意方向施加【推击4】/【拉近4】。</t>
  </si>
  <si>
    <r>
      <rPr>
        <sz val="12"/>
        <color theme="5" tint="-0.5"/>
        <rFont val="微软雅黑"/>
        <charset val="134"/>
      </rPr>
      <t>清除生效范围内所有单位的
【飞行】</t>
    </r>
    <r>
      <rPr>
        <sz val="12"/>
        <color theme="1"/>
        <rFont val="微软雅黑"/>
        <charset val="134"/>
      </rPr>
      <t>，</t>
    </r>
    <r>
      <rPr>
        <sz val="12"/>
        <color rgb="FFC00000"/>
        <rFont val="微软雅黑"/>
        <charset val="134"/>
      </rPr>
      <t>使其坠落，期间额外施加【加重3】。</t>
    </r>
  </si>
  <si>
    <t>生成【动能屏障】并对其施加【屏障5】。
若【动能屏障】已存在，则先将其重新部署至目标位置。</t>
  </si>
  <si>
    <r>
      <rPr>
        <sz val="10"/>
        <color theme="5" tint="-0.5"/>
        <rFont val="微软雅黑"/>
        <charset val="134"/>
      </rPr>
      <t xml:space="preserve">【引导】至自身下回合开始。
【引导】期间，对所有单位施加【失重4】。
</t>
    </r>
    <r>
      <rPr>
        <sz val="10"/>
        <color rgb="FFC00000"/>
        <rFont val="微软雅黑"/>
        <charset val="134"/>
      </rPr>
      <t>【引导】完成时，对所有单位施加【加重4】</t>
    </r>
    <r>
      <rPr>
        <sz val="10"/>
        <color theme="5" tint="-0.5"/>
        <rFont val="微软雅黑"/>
        <charset val="134"/>
      </rPr>
      <t>，持续至自身下回合结束。</t>
    </r>
  </si>
  <si>
    <t>解构爆破</t>
  </si>
  <si>
    <t>重力电梯</t>
  </si>
  <si>
    <t>紧急防护</t>
  </si>
  <si>
    <t>奇点</t>
  </si>
  <si>
    <t>精英化二阶段 被动技艺</t>
  </si>
  <si>
    <t>行星撞击</t>
  </si>
  <si>
    <t>施法范围</t>
  </si>
  <si>
    <t>默认</t>
  </si>
  <si>
    <t>内脏撕裂</t>
  </si>
  <si>
    <t>任意个单位</t>
  </si>
  <si>
    <t>使用动能法术造成伤害（包括制造摔落和撞击伤害）时，额外造成等同于目标重量等级的组织损伤，至多5点。</t>
  </si>
  <si>
    <t>攻击1次，对所有目标造成伤害。
使这些目标法术抗性-5，持续至施术者下回合结束。</t>
  </si>
  <si>
    <t>生成【重力电梯】，在自身下回合开始时，将其摧毁。</t>
  </si>
  <si>
    <t>施加【屏障20】。自身下回合开始时，清除该技艺的【屏障】。</t>
  </si>
  <si>
    <r>
      <rPr>
        <sz val="9"/>
        <color theme="5" tint="-0.5"/>
        <rFont val="微软雅黑"/>
        <charset val="134"/>
      </rPr>
      <t>【引导】至自身下回合开始。
【引导】期间，每个单位的回合开始时，对目标战术格为中心20范围内所有单位施加向目标战术格的【拉近4】，</t>
    </r>
    <r>
      <rPr>
        <sz val="9"/>
        <color rgb="FFC00000"/>
        <rFont val="微软雅黑"/>
        <charset val="134"/>
      </rPr>
      <t>之后对已经在目标战术格上的所有单位造成25点真实伤害。</t>
    </r>
  </si>
  <si>
    <r>
      <rPr>
        <sz val="9"/>
        <color theme="0" tint="-0.5"/>
        <rFont val="微软雅黑"/>
        <charset val="134"/>
      </rPr>
      <t>【引导】至自身下回合开始。
【引导】完成时，</t>
    </r>
    <r>
      <rPr>
        <sz val="9"/>
        <color rgb="FFC00000"/>
        <rFont val="微软雅黑"/>
        <charset val="134"/>
      </rPr>
      <t>对目标战术格周围3*3战术格内所有单位攻击1次，本次攻击对重量等级大于等于4的单位【暴击】。</t>
    </r>
    <r>
      <rPr>
        <sz val="9"/>
        <color theme="6" tint="-0.5"/>
        <rFont val="微软雅黑"/>
        <charset val="134"/>
      </rPr>
      <t>并对被攻击的所有单位施加【推击4】。</t>
    </r>
  </si>
  <si>
    <t>飞跃疯人院</t>
  </si>
  <si>
    <t>能序失衡</t>
  </si>
  <si>
    <t>掌控现实</t>
  </si>
  <si>
    <t>模组阶段 被动技艺</t>
  </si>
  <si>
    <t>全图</t>
  </si>
  <si>
    <t>莱塔尼亚学派</t>
  </si>
  <si>
    <t>哥伦比亚学派</t>
  </si>
  <si>
    <t>施术者默认施法范围内拥有【屏障】的单位受到的攻击获得两个惩罚骰。</t>
  </si>
  <si>
    <t>施术者每回合首次的【投掷物品】不再消耗动作。只要弹道允许，即可将投掷物投送到任意的战术格中。</t>
  </si>
  <si>
    <r>
      <rPr>
        <sz val="12"/>
        <color theme="5" tint="-0.5"/>
        <rFont val="微软雅黑"/>
        <charset val="134"/>
      </rPr>
      <t>施加【推击10】，该技艺引发的失衡位移总是会和单位发生</t>
    </r>
    <r>
      <rPr>
        <sz val="12"/>
        <color rgb="FF7030A0"/>
        <rFont val="微软雅黑"/>
        <charset val="134"/>
      </rPr>
      <t>撞击</t>
    </r>
    <r>
      <rPr>
        <sz val="12"/>
        <color theme="5" tint="-0.5"/>
        <rFont val="微软雅黑"/>
        <charset val="134"/>
      </rPr>
      <t>而无法被反应动作停止，并且会对撞击的单位也施加【推击X】，X=剩余力度</t>
    </r>
  </si>
  <si>
    <t>【引导】至自身下回合开始。
【引导】期间，你可以强迫全图所有单位在自己的回合消耗快速行动进行移动预备，且你可以代替他们消耗移动位决定如何主动移动。</t>
  </si>
  <si>
    <t>以指定战术格为中心，生成一面横穿整个战场的能量墙壁。任何远程攻击穿过墙壁时，施术者可以将其消除（至多吸收500点伤害），轮次结束三次后，墙壁消失。</t>
  </si>
  <si>
    <t>动能屏障</t>
  </si>
  <si>
    <t>标签</t>
  </si>
  <si>
    <t>召唤物</t>
  </si>
  <si>
    <t>地形单位</t>
  </si>
  <si>
    <r>
      <rPr>
        <sz val="10.5"/>
        <color rgb="FF000000"/>
        <rFont val="Times New Roman"/>
        <charset val="134"/>
      </rPr>
      <t>HP</t>
    </r>
    <r>
      <rPr>
        <sz val="10.5"/>
        <color rgb="FF000000"/>
        <rFont val="思源宋体 CN SemiBold"/>
        <charset val="134"/>
      </rPr>
      <t>：</t>
    </r>
    <r>
      <rPr>
        <sz val="10.5"/>
        <color rgb="FF000000"/>
        <rFont val="Times New Roman"/>
        <charset val="134"/>
      </rPr>
      <t>1</t>
    </r>
  </si>
  <si>
    <r>
      <rPr>
        <sz val="10.5"/>
        <color rgb="FF000000"/>
        <rFont val="Times New Roman"/>
        <charset val="134"/>
      </rPr>
      <t>HP</t>
    </r>
    <r>
      <rPr>
        <sz val="10.5"/>
        <color rgb="FF000000"/>
        <rFont val="思源宋体 CN SemiBold"/>
        <charset val="134"/>
      </rPr>
      <t>：</t>
    </r>
    <r>
      <rPr>
        <sz val="10.5"/>
        <color rgb="FF000000"/>
        <rFont val="Times New Roman"/>
        <charset val="134"/>
      </rPr>
      <t>/</t>
    </r>
  </si>
  <si>
    <t>物理抗性：10/20（精一/精二）</t>
  </si>
  <si>
    <t>物理抗性：/</t>
  </si>
  <si>
    <t>法术抗性：10/20（精一/精二）</t>
  </si>
  <si>
    <t>法术抗性：/</t>
  </si>
  <si>
    <t>特性</t>
  </si>
  <si>
    <t xml:space="preserve">可通行，透明，具有朝向，在部署时选定朝向当远程攻击的弹道经过该单位所在战术格或左右两侧方向上的一个（精二时改为2个）战术格时，可将远程攻击的目标改为该单位。
获得【屏障】时，使获得的数值翻倍。该单位所持有的【屏障】可叠加，至多为100点。
可能被视为【机械】而受到电磁类效果的影响
</t>
  </si>
  <si>
    <t xml:space="preserve">使得自身所在周围中心8范围内的所有单位获得【失重5】，离开后即立刻消除，且不会因此而受到摔落伤害。
</t>
  </si>
  <si>
    <t>光明</t>
  </si>
  <si>
    <t>LIGHT</t>
  </si>
  <si>
    <t>撰写人：萨卡兹盾卫</t>
  </si>
  <si>
    <t>审判</t>
  </si>
  <si>
    <t>白矮星</t>
  </si>
  <si>
    <t>降下恩典</t>
  </si>
  <si>
    <t>烁光爆发</t>
  </si>
  <si>
    <t>视野范围</t>
  </si>
  <si>
    <t>【光照】地块</t>
  </si>
  <si>
    <t>灼光</t>
  </si>
  <si>
    <t>战术格</t>
  </si>
  <si>
    <r>
      <rPr>
        <sz val="12"/>
        <color rgb="FF0070C0"/>
        <rFont val="微软雅黑"/>
        <charset val="134"/>
      </rPr>
      <t>施术者的施法范围视为</t>
    </r>
    <r>
      <rPr>
        <sz val="12"/>
        <color rgb="FF7030A0"/>
        <rFont val="微软雅黑"/>
        <charset val="134"/>
      </rPr>
      <t>【光照】。</t>
    </r>
    <r>
      <rPr>
        <sz val="12"/>
        <color rgb="FFC00000"/>
        <rFont val="微软雅黑"/>
        <charset val="134"/>
      </rPr>
      <t xml:space="preserve">
使用源石技艺对</t>
    </r>
    <r>
      <rPr>
        <sz val="12"/>
        <color rgb="FF7030A0"/>
        <rFont val="微软雅黑"/>
        <charset val="134"/>
      </rPr>
      <t>【光照】</t>
    </r>
    <r>
      <rPr>
        <sz val="12"/>
        <color rgb="FFC00000"/>
        <rFont val="微软雅黑"/>
        <charset val="134"/>
      </rPr>
      <t>中的目标
造成伤害时，额外造成2点灼燃损伤</t>
    </r>
  </si>
  <si>
    <t>攻击1次，施加【震慑】。</t>
  </si>
  <si>
    <r>
      <rPr>
        <sz val="12"/>
        <color rgb="FF808080"/>
        <rFont val="微软雅黑"/>
        <charset val="134"/>
      </rPr>
      <t>将以目标战术格周围中心12范围内的战术格改为</t>
    </r>
    <r>
      <rPr>
        <sz val="12"/>
        <color rgb="FF7030A0"/>
        <rFont val="微软雅黑"/>
        <charset val="134"/>
      </rPr>
      <t>【光照】</t>
    </r>
    <r>
      <rPr>
        <sz val="12"/>
        <color rgb="FF808080"/>
        <rFont val="微软雅黑"/>
        <charset val="134"/>
      </rPr>
      <t>地块。</t>
    </r>
  </si>
  <si>
    <t>治疗1次，对所有目标生效。</t>
  </si>
  <si>
    <t>对单位施加【震慑】，【目盲】，持续至自身下回合开始。</t>
  </si>
  <si>
    <t>热诚控诉</t>
  </si>
  <si>
    <t>骄盛夺目</t>
  </si>
  <si>
    <t>光影迷宫</t>
  </si>
  <si>
    <t>暮时落雨</t>
  </si>
  <si>
    <t>典礼之光</t>
  </si>
  <si>
    <t>盲目</t>
  </si>
  <si>
    <t>自身</t>
  </si>
  <si>
    <r>
      <rPr>
        <sz val="14"/>
        <color rgb="FF0070C0"/>
        <rFont val="微软雅黑"/>
        <charset val="134"/>
      </rPr>
      <t>使用该系源石技艺对【光照】中的目标造成伤害时，额外施加【震慑】，</t>
    </r>
    <r>
      <rPr>
        <sz val="14"/>
        <color rgb="FFC00000"/>
        <rFont val="微软雅黑"/>
        <charset val="134"/>
      </rPr>
      <t>2点真实伤害</t>
    </r>
  </si>
  <si>
    <t>除自身的单个单位</t>
  </si>
  <si>
    <t>攻击1次，对生效范围内的所有目标造成伤害，并施加【标记】。</t>
  </si>
  <si>
    <t>攻击1次，施加【目盲】。</t>
  </si>
  <si>
    <t>对所有目标施加【迷彩】
持续至施术者下回合开始。</t>
  </si>
  <si>
    <t>对至多两名单位施加【标记】。
【引导】至自身下回合开始。
【引导】完成时，攻击1次，若目标拥有【标记】，则再攻击1次。</t>
  </si>
  <si>
    <r>
      <rPr>
        <sz val="12"/>
        <color theme="0" tint="-0.5"/>
        <rFont val="微软雅黑"/>
        <charset val="134"/>
      </rPr>
      <t>直到自身下回合开始，</t>
    </r>
    <r>
      <rPr>
        <sz val="12"/>
        <color rgb="FFC00000"/>
        <rFont val="微软雅黑"/>
        <charset val="134"/>
      </rPr>
      <t>目标造成伤害时，额外造成2点灼燃损伤，且你立即无消耗的攻击1次（最多1次），该次攻击骰面降级。</t>
    </r>
  </si>
  <si>
    <t>光辉降落</t>
  </si>
  <si>
    <t>高能射线</t>
  </si>
  <si>
    <t>慑敌辉光</t>
  </si>
  <si>
    <t>光赐于苦</t>
  </si>
  <si>
    <t>恒光</t>
  </si>
  <si>
    <t>战斗开始时，指定战术格，使其周围中心8范围内被视为【光照】。
每轮次开始时，可更改该技艺的【光照】位置。</t>
  </si>
  <si>
    <t>攻击1次，该次攻击骰面升级，对生效范围内的任意个单位造成伤害</t>
  </si>
  <si>
    <t>指定目标，【引导】至自身下回合开始。
【引导】期间，施加【目盲】，【震慑】。
【引导】完成时，攻击1次，造成1次效能骰的真实伤害。</t>
  </si>
  <si>
    <t>对任意个单位施加【眩晕】，持续至自身下回合开始。
直到自身下回合开始，你对【眩晕】单位的攻击获得骰面升级。</t>
  </si>
  <si>
    <t>使任意数量的单位被视为拥有【魅影】，持续至施术者下回合开始。
该技艺可在即将被攻击时，作为反应动作释放。</t>
  </si>
  <si>
    <t>终极闪光</t>
  </si>
  <si>
    <t>耀阳颔首</t>
  </si>
  <si>
    <t>追光者之引</t>
  </si>
  <si>
    <t>荣光</t>
  </si>
  <si>
    <t>视野</t>
  </si>
  <si>
    <t>身前一格</t>
  </si>
  <si>
    <t>暮野</t>
  </si>
  <si>
    <t>至多30战术格</t>
  </si>
  <si>
    <r>
      <rPr>
        <sz val="14"/>
        <color rgb="FF7030A0"/>
        <rFont val="微软雅黑"/>
        <charset val="134"/>
      </rPr>
      <t>【光照】</t>
    </r>
    <r>
      <rPr>
        <sz val="14"/>
        <color rgb="FF808080"/>
        <rFont val="微软雅黑"/>
        <charset val="134"/>
      </rPr>
      <t>视为施术者的额外释放范围。</t>
    </r>
    <r>
      <rPr>
        <sz val="14"/>
        <color rgb="FF0070C0"/>
        <rFont val="微软雅黑"/>
        <charset val="134"/>
      </rPr>
      <t xml:space="preserve">
</t>
    </r>
    <r>
      <rPr>
        <sz val="14"/>
        <color rgb="FFC00000"/>
        <rFont val="微软雅黑"/>
        <charset val="134"/>
      </rPr>
      <t>当友方单位位于【光照】且造成伤害时，额外造成2点灼燃损伤。</t>
    </r>
  </si>
  <si>
    <t>选取目标战术格，【引导】至施术者下回合开始，【引导】结束后，射出光路，将所在格于目标格连线所经过所有战术格中添加【光照】，并且攻击1次，该次攻击暴击，对上述战术格中的任意个单位造成伤害。</t>
  </si>
  <si>
    <t>【引导】至自身下回合开始。
【引导】完成时，在指定战术格落下【耀阳】，对范围内敌方单位造成1次效能骰的真实伤害。
【耀阳】：障碍物，50HP，0物理，法术抗性，【耀阳】周围8战术格视为【光照】，。</t>
  </si>
  <si>
    <t>【引导】至自身下回合开始。
【引导】期间，射出光路，在任意时点，可将光路向任意十字方向延伸直至生效上限；光路本身不透明且内部为最高视野等级，光路内的敌方单位被施加【目盲】，【震慑】；友方单位立即被治疗1次，施加【迷彩】。</t>
  </si>
  <si>
    <t>引导至自身下回合开始。选择以下效果其一发动：
1.进行近战攻击时获得【骰面升级】【暴击】，并额外造成该次攻击折后伤害*50%的法术伤害。持续至自身下回合开始。
2.攻击1次，本次攻击视为拥有【暴击】。</t>
  </si>
  <si>
    <t>光照</t>
  </si>
  <si>
    <t>地形</t>
  </si>
  <si>
    <t>施术者可将其中单位的【隐匿】和【迷彩】
立即清除。</t>
  </si>
  <si>
    <t>暗影</t>
  </si>
  <si>
    <t>SHADOW</t>
  </si>
  <si>
    <t>撰写人：雨宫银</t>
  </si>
  <si>
    <t>影哨</t>
  </si>
  <si>
    <t>移形</t>
  </si>
  <si>
    <t>暗线</t>
  </si>
  <si>
    <t>暗影突袭</t>
  </si>
  <si>
    <t>整个战场</t>
  </si>
  <si>
    <t>落影</t>
  </si>
  <si>
    <t>任意个
被束缚的目标</t>
  </si>
  <si>
    <t>使用该系技艺攻击单位时，可消耗2SP，额外施加【停顿】。</t>
  </si>
  <si>
    <r>
      <rPr>
        <sz val="11"/>
        <color theme="0" tint="-0.5"/>
        <rFont val="微软雅黑"/>
        <charset val="134"/>
      </rPr>
      <t>生成</t>
    </r>
    <r>
      <rPr>
        <sz val="11"/>
        <color rgb="FF7030A0"/>
        <rFont val="微软雅黑"/>
        <charset val="134"/>
      </rPr>
      <t>【影哨】</t>
    </r>
    <r>
      <rPr>
        <sz val="11"/>
        <color theme="0" tint="-0.5"/>
        <rFont val="微软雅黑"/>
        <charset val="134"/>
      </rPr>
      <t>。
其他涉及</t>
    </r>
    <r>
      <rPr>
        <sz val="11"/>
        <color rgb="FF7030A0"/>
        <rFont val="微软雅黑"/>
        <charset val="134"/>
      </rPr>
      <t>【影哨】</t>
    </r>
    <r>
      <rPr>
        <sz val="11"/>
        <color theme="0" tint="-0.5"/>
        <rFont val="微软雅黑"/>
        <charset val="134"/>
      </rPr>
      <t>的技艺，需要先习得该技艺后才可学习。战斗开始时，立即在施术者所在的战术格中生成</t>
    </r>
    <r>
      <rPr>
        <sz val="11"/>
        <color rgb="FF7030A0"/>
        <rFont val="微软雅黑"/>
        <charset val="134"/>
      </rPr>
      <t>【影哨】。</t>
    </r>
  </si>
  <si>
    <r>
      <rPr>
        <sz val="14"/>
        <color theme="5" tint="-0.5"/>
        <rFont val="微软雅黑"/>
        <charset val="134"/>
      </rPr>
      <t>将影哨拉向自身所在的战术格，对自身与所选影哨之间直线连线内的所有单位施加</t>
    </r>
    <r>
      <rPr>
        <sz val="14"/>
        <color rgb="FF7030A0"/>
        <rFont val="微软雅黑"/>
        <charset val="134"/>
      </rPr>
      <t>【束缚】。</t>
    </r>
  </si>
  <si>
    <t>攻击1次。
该技艺在一回合内仅可使用1次。</t>
  </si>
  <si>
    <t>【突袭】移动7战术格。回合结束时，攻击1次，对本回合中所经过的战术格中的至多五个单位造成伤害。</t>
  </si>
  <si>
    <t>虚影</t>
  </si>
  <si>
    <t>淆清</t>
  </si>
  <si>
    <t>恐惧凝集</t>
  </si>
  <si>
    <t>幽灵形态</t>
  </si>
  <si>
    <t>自身所在战术格</t>
  </si>
  <si>
    <t>夜巡</t>
  </si>
  <si>
    <t>——</t>
  </si>
  <si>
    <t>身后一格
没有视野的
单个单位</t>
  </si>
  <si>
    <r>
      <rPr>
        <sz val="14"/>
        <color rgb="FF3C5F21"/>
        <rFont val="微软雅黑"/>
        <charset val="134"/>
      </rPr>
      <t xml:space="preserve">施术者可将自身获得的
【隐匿】升级为【迷彩】
</t>
    </r>
    <r>
      <rPr>
        <sz val="14"/>
        <color rgb="FF0070C0"/>
        <rFont val="微软雅黑"/>
        <charset val="134"/>
      </rPr>
      <t>若施术者处于【迷彩】，则通过移动预备获得的移动位+1</t>
    </r>
  </si>
  <si>
    <t>生成【虚影】。
【虚影】：无法移动，与施术者有相同的攻击范围，执行相同的动作以攻击相同的目标。在受击1次或执行三个动作后消散。</t>
  </si>
  <si>
    <t>施加【目盲】。
该技艺可作为反应动作，在即将受到攻击时释放</t>
  </si>
  <si>
    <t>攻击1次，若目标拥有【恐惧】/【目盲】，则造成真实伤害。</t>
  </si>
  <si>
    <r>
      <rPr>
        <sz val="12"/>
        <color rgb="FF0070C0"/>
        <rFont val="微软雅黑"/>
        <charset val="134"/>
      </rPr>
      <t>获得8移动位</t>
    </r>
    <r>
      <rPr>
        <sz val="12"/>
        <color theme="7" tint="-0.5"/>
        <rFont val="微软雅黑"/>
        <charset val="134"/>
      </rPr>
      <t>。直到自身下回合开始，自身无法被攻击或选中，但无法执行除移动以外的任何动作。</t>
    </r>
  </si>
  <si>
    <t>消散</t>
  </si>
  <si>
    <t>淬影</t>
  </si>
  <si>
    <t>影煞</t>
  </si>
  <si>
    <t>暗影步</t>
  </si>
  <si>
    <t>长夜挽歌</t>
  </si>
  <si>
    <t>留影</t>
  </si>
  <si>
    <t>影哨所在的
战术格</t>
  </si>
  <si>
    <r>
      <rPr>
        <sz val="14"/>
        <color rgb="FF0070C0"/>
        <rFont val="微软雅黑"/>
        <charset val="134"/>
      </rPr>
      <t>通过技艺移动前，在施术者所在的战术格中生成</t>
    </r>
    <r>
      <rPr>
        <sz val="14"/>
        <color rgb="FF7030A0"/>
        <rFont val="微软雅黑"/>
        <charset val="134"/>
      </rPr>
      <t>【影哨】</t>
    </r>
  </si>
  <si>
    <r>
      <rPr>
        <sz val="12"/>
        <color rgb="FF0070C0"/>
        <rFont val="微软雅黑"/>
        <charset val="134"/>
      </rPr>
      <t>以最短路径突袭到目标战术格中，摧毁</t>
    </r>
    <r>
      <rPr>
        <sz val="12"/>
        <color rgb="FF7030A0"/>
        <rFont val="微软雅黑"/>
        <charset val="134"/>
      </rPr>
      <t>【影哨】</t>
    </r>
    <r>
      <rPr>
        <sz val="12"/>
        <color rgb="FF0070C0"/>
        <rFont val="微软雅黑"/>
        <charset val="134"/>
      </rPr>
      <t>并回复3SP。</t>
    </r>
    <r>
      <rPr>
        <sz val="12"/>
        <color theme="7" tint="-0.5"/>
        <rFont val="微软雅黑"/>
        <charset val="134"/>
      </rPr>
      <t>可作为反应动作，在施术者即将遭到攻击时释放</t>
    </r>
  </si>
  <si>
    <t xml:space="preserve">施加【魅影】。
</t>
  </si>
  <si>
    <t>【引导】至自身下个回合开始。【引导】结束后，施术者突袭至目标身后，攻击1次，使目标获得【恐惧】，直到你下一回合开始</t>
  </si>
  <si>
    <t>【引导】至自身下回合开始。
【引导】完成时，自身立即移动至目标战术格。该技艺的移动不消耗移动位，但移动路径中不可经过敌方单位的视野范围。</t>
  </si>
  <si>
    <r>
      <rPr>
        <sz val="12"/>
        <color theme="0" tint="-0.5"/>
        <rFont val="微软雅黑"/>
        <charset val="134"/>
      </rPr>
      <t>【引导】至自身下回合开始。
【引导】完成时，</t>
    </r>
    <r>
      <rPr>
        <sz val="12"/>
        <color rgb="FF0070C0"/>
        <rFont val="微软雅黑"/>
        <charset val="134"/>
      </rPr>
      <t>【突袭】移动6战术格</t>
    </r>
    <r>
      <rPr>
        <sz val="12"/>
        <color theme="0" tint="-0.5"/>
        <rFont val="微软雅黑"/>
        <charset val="134"/>
      </rPr>
      <t>，</t>
    </r>
    <r>
      <rPr>
        <sz val="12"/>
        <color rgb="FFC00000"/>
        <rFont val="微软雅黑"/>
        <charset val="134"/>
      </rPr>
      <t>随后对生效范围内的任意单位攻击1次</t>
    </r>
    <r>
      <rPr>
        <sz val="12"/>
        <color theme="0" tint="-0.5"/>
        <rFont val="微软雅黑"/>
        <charset val="134"/>
      </rPr>
      <t>，</t>
    </r>
    <r>
      <rPr>
        <sz val="12"/>
        <color theme="6" tint="-0.5"/>
        <rFont val="微软雅黑"/>
        <charset val="134"/>
      </rPr>
      <t>施加【恐惧】，【目盲】。</t>
    </r>
  </si>
  <si>
    <t>倒钩</t>
  </si>
  <si>
    <t>诡计之雾</t>
  </si>
  <si>
    <t>此消彼长</t>
  </si>
  <si>
    <t>落下帷幕</t>
  </si>
  <si>
    <t>影中自我</t>
  </si>
  <si>
    <t>所有影哨</t>
  </si>
  <si>
    <t>同一阵营的
所有单位</t>
  </si>
  <si>
    <t>进入【隐匿】或【迷彩】时，对自身施加【魅影】。</t>
  </si>
  <si>
    <t>将虚影转变为两个影哨，然后将所有影哨拉向自身所在的战术格，每个影哨都会对所经战术格中的任意个单位进行1次攻击，并施加【停顿】。若一个目标被至少三个影哨命中，对其施加【脆弱15】</t>
  </si>
  <si>
    <r>
      <rPr>
        <sz val="12"/>
        <color rgb="FF385723"/>
        <rFont val="微软雅黑"/>
        <charset val="134"/>
      </rPr>
      <t xml:space="preserve">立即施加【隐匿】。
</t>
    </r>
    <r>
      <rPr>
        <sz val="12"/>
        <color theme="0" tint="-0.5"/>
        <rFont val="微软雅黑"/>
        <charset val="134"/>
      </rPr>
      <t>或【引导】至自身下回合开始。
【引导】完成时，指定至多3个单位，</t>
    </r>
    <r>
      <rPr>
        <sz val="12"/>
        <color theme="6" tint="-0.5"/>
        <rFont val="微软雅黑"/>
        <charset val="134"/>
      </rPr>
      <t>施加【恐惧】。</t>
    </r>
  </si>
  <si>
    <t>轻击1次，偷取目标5点物理/法术抗性，持续至战斗结束。对同一目标，至多生效5次。可作为反应动作，在有单位在释放范围内移动时，对该单位释放。若如此做，还会偷取目标的所有移动位用于立即移动</t>
  </si>
  <si>
    <t>将目标的视野范围降低至其自身的攻击范围，且无法获取队友的视野。
对方阵营的行动次序改为完全随机，持续至战斗结束。</t>
  </si>
  <si>
    <t>周围中心8范围内的所有战术格
被视为该技艺创造者的施法范围和攻击范围
进入精英化二阶段时，生效范围扩大至中心12</t>
  </si>
  <si>
    <t>火焰</t>
  </si>
  <si>
    <t>FIRE</t>
  </si>
  <si>
    <t>撰写人：小半，自燃叶</t>
  </si>
  <si>
    <t>灼烧</t>
  </si>
  <si>
    <t>点燃</t>
  </si>
  <si>
    <t>燔祭</t>
  </si>
  <si>
    <t>炙手支援</t>
  </si>
  <si>
    <t>炎息</t>
  </si>
  <si>
    <r>
      <rPr>
        <sz val="12"/>
        <color rgb="FFC00000"/>
        <rFont val="微软雅黑"/>
        <charset val="134"/>
      </rPr>
      <t>造成法术伤害时，额外造成最终伤害值×10%的灼燃损伤。
任意单位灼燃损伤爆发时，在其所在的战术格中生成</t>
    </r>
    <r>
      <rPr>
        <sz val="12"/>
        <color rgb="FF7030A0"/>
        <rFont val="微软雅黑"/>
        <charset val="134"/>
      </rPr>
      <t>【烈火】。</t>
    </r>
  </si>
  <si>
    <t>轻击1次，造成4点灼燃损伤。
每进入一个新的精英化阶段，造成的灼燃损伤增加2点</t>
  </si>
  <si>
    <t>攻击1次，对生效范围内的所有单位造成伤害。</t>
  </si>
  <si>
    <t>对自身造成5点真实伤害，获得可叠加的【伤害提升5】（至多20）。同一回合内，仅可释放1次，进入精英化阶段二时，可额外释放1次。</t>
  </si>
  <si>
    <r>
      <rPr>
        <sz val="12"/>
        <color theme="7" tint="-0.5"/>
        <rFont val="微软雅黑"/>
        <charset val="134"/>
      </rPr>
      <t>施加【护盾1】</t>
    </r>
    <r>
      <rPr>
        <sz val="12"/>
        <color rgb="FFC00000"/>
        <rFont val="微软雅黑"/>
        <charset val="134"/>
      </rPr>
      <t>，使该单位周围中心8范围内的战术格被视为</t>
    </r>
    <r>
      <rPr>
        <sz val="12"/>
        <color rgb="FF7030A0"/>
        <rFont val="微软雅黑"/>
        <charset val="134"/>
      </rPr>
      <t>【烈火】</t>
    </r>
    <r>
      <rPr>
        <sz val="12"/>
        <color rgb="FFC00000"/>
        <rFont val="微软雅黑"/>
        <charset val="134"/>
      </rPr>
      <t>地块（在移动时不生效），</t>
    </r>
    <r>
      <rPr>
        <sz val="12"/>
        <color theme="7" tint="-0.5"/>
        <rFont val="微软雅黑"/>
        <charset val="134"/>
      </rPr>
      <t>免疫因火焰导致的伤害</t>
    </r>
    <r>
      <rPr>
        <sz val="12"/>
        <color rgb="FFC00000"/>
        <rFont val="微软雅黑"/>
        <charset val="134"/>
      </rPr>
      <t>，持续至护盾被击破</t>
    </r>
  </si>
  <si>
    <t>星火射流</t>
  </si>
  <si>
    <t>灼地</t>
  </si>
  <si>
    <t>净浊之焰</t>
  </si>
  <si>
    <t>烈火燎原</t>
  </si>
  <si>
    <t>熔点引爆</t>
  </si>
  <si>
    <t>全部战术格</t>
  </si>
  <si>
    <t>当视野中有单位灼燃损伤爆发，施术者可立即攻击1次该单位，并恢复相当于上限10%的HP。</t>
  </si>
  <si>
    <t>攻击1次，对生效范围内任意数量的敌方单位造成伤害，造成2点灼燃损伤。
该源石技艺可指定战术格。</t>
  </si>
  <si>
    <r>
      <rPr>
        <sz val="12"/>
        <color rgb="FFC00000"/>
        <rFont val="微软雅黑"/>
        <charset val="134"/>
      </rPr>
      <t>在目标战术格中生成</t>
    </r>
    <r>
      <rPr>
        <sz val="12"/>
        <color rgb="FF7030A0"/>
        <rFont val="微软雅黑"/>
        <charset val="134"/>
      </rPr>
      <t>【烈火】</t>
    </r>
    <r>
      <rPr>
        <sz val="12"/>
        <color rgb="FFC00000"/>
        <rFont val="微软雅黑"/>
        <charset val="134"/>
      </rPr>
      <t xml:space="preserve">
【引导】至自身下回合开始，【引导】期间，释放范围内的单位法术抗性-50%，至多削减25点。</t>
    </r>
  </si>
  <si>
    <t>在目标格召唤一个火球（同一时间内至多存在三个）到施术者回合开始时，火球可移动六个战术格。火球进入有单位的战术格（或有单位进入火球所在的战术格时），火球即被引爆，攻击1次，对生效范围内的所有单位造成伤害。</t>
  </si>
  <si>
    <t>【引导】至自身下回合开始。
【引导】期间，可在任意时点，将任意数量的战术格改造为【烈火地块】。</t>
  </si>
  <si>
    <t>星星之火</t>
  </si>
  <si>
    <t>火山</t>
  </si>
  <si>
    <t>火狱之门</t>
  </si>
  <si>
    <t>熔火核心</t>
  </si>
  <si>
    <t>乱火</t>
  </si>
  <si>
    <t>单行/单列</t>
  </si>
  <si>
    <t>在施术者的首个回合开始时，或是在消耗了至少1点耐力后，获得1D6点SP</t>
  </si>
  <si>
    <t>轻击1次，造成6点灼燃损伤。若该技艺使目标灼燃损伤爆发，则对以该目标中心20范围内的其他所有单位再次无消耗地释放1次该技艺。</t>
  </si>
  <si>
    <t>【突袭】移动3战术格，【引导】至自身下回合开始。
【引导】期间，可将攻击作为反应动作，在该技艺的目标的回合开始和回合结束时，对该目标无消耗地分别释放三次。
你可以随时结束【引导】并回到该技艺释放时的位置。</t>
  </si>
  <si>
    <r>
      <rPr>
        <sz val="9"/>
        <color theme="7" tint="-0.5"/>
        <rFont val="微软雅黑"/>
        <charset val="134"/>
      </rPr>
      <t>【引导】至自身下回合开始。【引导】期间，创造一道</t>
    </r>
    <r>
      <rPr>
        <sz val="9"/>
        <color rgb="FF7030A0"/>
        <rFont val="微软雅黑"/>
        <charset val="134"/>
      </rPr>
      <t>火焰墙壁</t>
    </r>
    <r>
      <rPr>
        <sz val="9"/>
        <color theme="7" tint="-0.5"/>
        <rFont val="微软雅黑"/>
        <charset val="134"/>
      </rPr>
      <t>，墙壁边缘延伸至障碍物或地图边界，墙壁透明但不视为障碍物，</t>
    </r>
    <r>
      <rPr>
        <sz val="9"/>
        <color rgb="FFC00000"/>
        <rFont val="微软雅黑"/>
        <charset val="134"/>
      </rPr>
      <t>当远程攻击的弹体穿越了该墙壁时，你可消耗3SP将其消除，或使其获得【炎息】的效果。</t>
    </r>
  </si>
  <si>
    <r>
      <rPr>
        <sz val="12"/>
        <color rgb="FFC00000"/>
        <rFont val="微软雅黑"/>
        <charset val="134"/>
      </rPr>
      <t>攻击1次，获得骰面降级，并将目标战术格中心8范围内的所有战术格改造为</t>
    </r>
    <r>
      <rPr>
        <sz val="12"/>
        <color rgb="FF7030A0"/>
        <rFont val="微软雅黑"/>
        <charset val="134"/>
      </rPr>
      <t>【烈火】</t>
    </r>
    <r>
      <rPr>
        <sz val="12"/>
        <color rgb="FFC00000"/>
        <rFont val="微软雅黑"/>
        <charset val="134"/>
      </rPr>
      <t xml:space="preserve">
重复三次，可指定战术格释放。</t>
    </r>
  </si>
  <si>
    <t>黄昏</t>
  </si>
  <si>
    <t>天坠之火</t>
  </si>
  <si>
    <t>众恶坟场</t>
  </si>
  <si>
    <t>死亡轮盘</t>
  </si>
  <si>
    <t>恶火不熄</t>
  </si>
  <si>
    <t>绝境重燃</t>
  </si>
  <si>
    <t>全场</t>
  </si>
  <si>
    <t>随机单位
（包括自身）</t>
  </si>
  <si>
    <t>每场战斗限1次，你进入【濒死】时，立即获得【屏障30】，若在你的下一回合开始时【屏障】仍未消失，则立即解除濒死并恢复50%的HP。</t>
  </si>
  <si>
    <t>/</t>
  </si>
  <si>
    <r>
      <rPr>
        <sz val="9"/>
        <color theme="7" tint="-0.5"/>
        <rFont val="微软雅黑"/>
        <charset val="134"/>
      </rPr>
      <t>立即恢复自身全部当前HP，</t>
    </r>
    <r>
      <rPr>
        <sz val="9"/>
        <color rgb="FFC00000"/>
        <rFont val="微软雅黑"/>
        <charset val="134"/>
      </rPr>
      <t>并获得以下效果：当你攻击或造成灼燃损伤时，额外造成1点灼燃损伤；你的攻击获得骰面升级，攻击处于灼燃损伤爆发期间的敌人再获得骰面升级。</t>
    </r>
    <r>
      <rPr>
        <sz val="9"/>
        <rFont val="微软雅黑"/>
        <charset val="134"/>
      </rPr>
      <t>每轮次开始时，你失去8点当前HP，并使该效果翻倍。</t>
    </r>
  </si>
  <si>
    <t>【引导】至自身下回合开始。
【引导】完成时，攻击1次，检定的骰面固定为D20，造成6点灼燃损伤。</t>
  </si>
  <si>
    <t>【引导】至攻击12次后结束。
【引导】期间，你的攻击不消耗行动，检定骰面固定为D4，对生效范围（中心8）内的所有单位造成伤害。</t>
  </si>
  <si>
    <t>攻击1次，造成3点灼燃损伤。
重复激活该效果，直到有单位
被击倒或灼燃损伤爆发。</t>
  </si>
  <si>
    <t>选择一个方向，在施术者的回合结束时，在该方向上的每一列战术格中召唤火球。火球从施术者所在行开始，在战斗轮结束时前进6战术格。当火球撞击障碍时，将其削减一级或摧毁；当火球撞击单位时，攻击该单位1次，该次攻击【暴击】。生效三次。</t>
  </si>
  <si>
    <t>烈火</t>
  </si>
  <si>
    <t>物理抗性：0</t>
  </si>
  <si>
    <t>法术抗性：0</t>
  </si>
  <si>
    <t>单位进入该单位所在的地块时时，受到1/2/3点灼燃损伤；角色在其中结束回合时，受到3/4/5点灼燃损伤(精零/精一/精二）
HP归零时即熄灭，免疫各种火焰所致的伤害
战术格中有易燃物时，HP酌情增加</t>
  </si>
  <si>
    <t>雷电</t>
  </si>
  <si>
    <t>THUNDER</t>
  </si>
  <si>
    <r>
      <rPr>
        <b/>
        <sz val="9"/>
        <color rgb="FF7030A0"/>
        <rFont val="微软雅黑"/>
        <charset val="134"/>
      </rPr>
      <t>【电荷X】</t>
    </r>
    <r>
      <rPr>
        <b/>
        <sz val="9"/>
        <color rgb="FF000000"/>
        <rFont val="微软雅黑"/>
        <charset val="134"/>
      </rPr>
      <t>：施术者自身持有的状态，用于部分技能的释放以及自身的强化，至多5层。
消耗电荷的技艺会在效果前写出。</t>
    </r>
  </si>
  <si>
    <t>【弹射X】：弹射攻击可进行传递，选定除目标外周围12战术格的任意单位进行弹射，每弹射1次，该次攻击的伤害减去攻击者的【雷电】施术技能值，至多弹射X次。即使弹射攻击未命中单位，弹射也不会中断。</t>
  </si>
  <si>
    <t>闪电链</t>
  </si>
  <si>
    <t>雷引天降</t>
  </si>
  <si>
    <t>蓄能强化</t>
  </si>
  <si>
    <t>电弧牵引</t>
  </si>
  <si>
    <t>核心电涌</t>
  </si>
  <si>
    <t>攻击和自身【雷引】造成伤害后，会为自身提供1层【电荷】；当自身及自身【雷引】的攻击指向自己或友方单位，可使攻击不造成伤害并使自身获得【电荷1】。</t>
  </si>
  <si>
    <t>【弹射1】攻击1次。</t>
  </si>
  <si>
    <r>
      <rPr>
        <sz val="12"/>
        <color theme="0" tint="-0.5"/>
        <rFont val="微软雅黑"/>
        <charset val="134"/>
      </rPr>
      <t>生成</t>
    </r>
    <r>
      <rPr>
        <sz val="12"/>
        <color rgb="FF7030A0"/>
        <rFont val="微软雅黑"/>
        <charset val="134"/>
      </rPr>
      <t>【雷引】，</t>
    </r>
    <r>
      <rPr>
        <sz val="12"/>
        <color theme="0" tint="-0.5"/>
        <rFont val="微软雅黑"/>
        <charset val="134"/>
      </rPr>
      <t>进入精英化阶段二时，该源石技艺可额外生成1个</t>
    </r>
    <r>
      <rPr>
        <sz val="12"/>
        <color rgb="FF7030A0"/>
        <rFont val="微软雅黑"/>
        <charset val="134"/>
      </rPr>
      <t>【雷引】</t>
    </r>
    <r>
      <rPr>
        <sz val="12"/>
        <color theme="0" tint="-0.5"/>
        <rFont val="微软雅黑"/>
        <charset val="134"/>
      </rPr>
      <t>。</t>
    </r>
  </si>
  <si>
    <r>
      <rPr>
        <sz val="12"/>
        <color rgb="FF7030A0"/>
        <rFont val="微软雅黑"/>
        <charset val="134"/>
      </rPr>
      <t>【电荷1】</t>
    </r>
    <r>
      <rPr>
        <sz val="12"/>
        <color theme="1"/>
        <rFont val="微软雅黑"/>
        <charset val="134"/>
      </rPr>
      <t>：在本场战斗内，使自身的攻击</t>
    </r>
    <r>
      <rPr>
        <sz val="12"/>
        <color rgb="FFC00000"/>
        <rFont val="微软雅黑"/>
        <charset val="134"/>
      </rPr>
      <t>无视2点法术抗性（至多10点，可临时超出上限，但回合结束时会降低至10点）</t>
    </r>
    <r>
      <rPr>
        <sz val="12"/>
        <color theme="1"/>
        <rFont val="微软雅黑"/>
        <charset val="134"/>
      </rPr>
      <t>，可叠加。</t>
    </r>
  </si>
  <si>
    <t>【电荷2】：攻击1次，命中后，将目标向距离最近的【雷引】【拉近4】并施加【停顿】。</t>
  </si>
  <si>
    <t>聚焦指令</t>
  </si>
  <si>
    <t>五雷轰顶</t>
  </si>
  <si>
    <t>霆厉掠野</t>
  </si>
  <si>
    <t>电磁脉冲</t>
  </si>
  <si>
    <t>电动力学</t>
  </si>
  <si>
    <t>过能除颤</t>
  </si>
  <si>
    <t>5SP</t>
  </si>
  <si>
    <t>至多5战术格</t>
  </si>
  <si>
    <t>任意个单位
和战术格</t>
  </si>
  <si>
    <r>
      <rPr>
        <sz val="12"/>
        <color rgb="FFC00000"/>
        <rFont val="微软雅黑"/>
        <charset val="134"/>
      </rPr>
      <t>施术者的攻击电子机械单位（如无人机等）时骰面升级。</t>
    </r>
    <r>
      <rPr>
        <sz val="12"/>
        <color theme="9" tint="-0.5"/>
        <rFont val="微软雅黑"/>
        <charset val="134"/>
      </rPr>
      <t xml:space="preserve">
</t>
    </r>
    <r>
      <rPr>
        <sz val="12"/>
        <color theme="7" tint="-0.5"/>
        <rFont val="微软雅黑"/>
        <charset val="134"/>
      </rPr>
      <t>当自身首次陷入濒死时，立即将自身的当前HP恢复至上限的50%，</t>
    </r>
    <r>
      <rPr>
        <sz val="12"/>
        <color rgb="FF7030A0"/>
        <rFont val="微软雅黑"/>
        <charset val="134"/>
      </rPr>
      <t>并获得【电荷5】</t>
    </r>
    <r>
      <rPr>
        <sz val="12"/>
        <color theme="7" tint="-0.5"/>
        <rFont val="微软雅黑"/>
        <charset val="134"/>
      </rPr>
      <t>。</t>
    </r>
  </si>
  <si>
    <t>两个单位</t>
  </si>
  <si>
    <r>
      <rPr>
        <sz val="14"/>
        <color rgb="FF7030A0"/>
        <rFont val="微软雅黑"/>
        <charset val="134"/>
      </rPr>
      <t>攻击额外【弹射1】并</t>
    </r>
    <r>
      <rPr>
        <sz val="14"/>
        <color theme="5" tint="-0.5"/>
        <rFont val="微软雅黑"/>
        <charset val="134"/>
      </rPr>
      <t>施加【停顿】，持续至自身本回合结束。</t>
    </r>
  </si>
  <si>
    <r>
      <rPr>
        <sz val="12"/>
        <color rgb="FF7030A0"/>
        <rFont val="微软雅黑"/>
        <charset val="134"/>
      </rPr>
      <t>生成5个【雷引】，</t>
    </r>
    <r>
      <rPr>
        <sz val="12"/>
        <color theme="0" tint="-0.5"/>
        <rFont val="微软雅黑"/>
        <charset val="134"/>
      </rPr>
      <t>但【雷引】不能生成在互相的攻击范围内。</t>
    </r>
    <r>
      <rPr>
        <sz val="12"/>
        <color rgb="FF7030A0"/>
        <rFont val="微软雅黑"/>
        <charset val="134"/>
      </rPr>
      <t xml:space="preserve">
【电荷X】：解除该源石技艺生成X个【雷引】的限制。</t>
    </r>
  </si>
  <si>
    <t>【突袭】移动至指定战术格，若指定战术格拥有【雷引】，则立即触发【雷引】，并再次释放该技艺，至多1次；由该源石技艺触发的【雷引】将额外施加【战栗】。</t>
  </si>
  <si>
    <t>轻击1次，施加【沉默】（对机械单位改为【眩晕】），【脆弱5】，并打断所有【引导】，自身获得【电荷3】。</t>
  </si>
  <si>
    <r>
      <rPr>
        <sz val="12"/>
        <color theme="0" tint="-0.5"/>
        <rFont val="微软雅黑"/>
        <charset val="134"/>
      </rPr>
      <t>使两个单位互相对彼此施加</t>
    </r>
    <r>
      <rPr>
        <sz val="12"/>
        <color theme="6" tint="-0.5"/>
        <rFont val="微软雅黑"/>
        <charset val="134"/>
      </rPr>
      <t>【推击3】或【拉近3】</t>
    </r>
    <r>
      <rPr>
        <sz val="12"/>
        <color theme="0" tint="-0.5"/>
        <rFont val="微软雅黑"/>
        <charset val="134"/>
      </rPr>
      <t xml:space="preserve">。
</t>
    </r>
    <r>
      <rPr>
        <sz val="12"/>
        <color rgb="FF7030A0"/>
        <rFont val="微软雅黑"/>
        <charset val="134"/>
      </rPr>
      <t>【电荷1】：该源石技艺力度+2。</t>
    </r>
  </si>
  <si>
    <t>辉煌裂片</t>
  </si>
  <si>
    <t>磁暴阵列</t>
  </si>
  <si>
    <t>磁能奔涌</t>
  </si>
  <si>
    <t>电磁偏转</t>
  </si>
  <si>
    <t>电能集聚</t>
  </si>
  <si>
    <t>单个【雷引】</t>
  </si>
  <si>
    <t>当自身及【雷引】在一回合内重复攻击了目标，从第二次攻击开始，每次攻击后可额外无消耗攻击1次，该次攻击可【弹射】无限次，但仅有最后1次【弹射】会造成5点真实伤害。</t>
  </si>
  <si>
    <r>
      <rPr>
        <sz val="12"/>
        <color rgb="FFC00000"/>
        <rFont val="微软雅黑"/>
        <charset val="134"/>
      </rPr>
      <t>释放【闪电链】，重复2次。</t>
    </r>
    <r>
      <rPr>
        <sz val="12"/>
        <color theme="9" tint="-0.5"/>
        <rFont val="微软雅黑"/>
        <charset val="134"/>
      </rPr>
      <t xml:space="preserve">
</t>
    </r>
    <r>
      <rPr>
        <sz val="12"/>
        <color rgb="FF7030A0"/>
        <rFont val="微软雅黑"/>
        <charset val="134"/>
      </rPr>
      <t>由该技艺释放的【闪电链】，弹射范围扩大至该技艺的释放范围。</t>
    </r>
  </si>
  <si>
    <t>指定【雷引】，并再指定中心24范围内的一个【雷引】，重复至无可选【雷引】或达成回路，随后触发所有指定的【雷引】。
若达成回路，则对回路内所有敌方单位攻击1次，并施加【晕眩】。</t>
  </si>
  <si>
    <t>【电荷2】：使下1次的普通攻击或源石技艺不再消耗主要行动。</t>
  </si>
  <si>
    <r>
      <rPr>
        <sz val="10"/>
        <color theme="9" tint="-0.25"/>
        <rFont val="微软雅黑"/>
        <charset val="134"/>
      </rPr>
      <t xml:space="preserve">作为反应行动，在单位即将受到攻击时释放：
</t>
    </r>
    <r>
      <rPr>
        <sz val="10"/>
        <color rgb="FF7030A0"/>
        <rFont val="微软雅黑"/>
        <charset val="134"/>
      </rPr>
      <t>【电荷1】：</t>
    </r>
    <r>
      <rPr>
        <sz val="10"/>
        <color theme="5" tint="-0.5"/>
        <rFont val="微软雅黑"/>
        <charset val="134"/>
      </rPr>
      <t>使该次攻击骰面降级。</t>
    </r>
    <r>
      <rPr>
        <sz val="10"/>
        <color theme="9" tint="-0.25"/>
        <rFont val="微软雅黑"/>
        <charset val="134"/>
      </rPr>
      <t xml:space="preserve">
</t>
    </r>
    <r>
      <rPr>
        <sz val="10"/>
        <color rgb="FF7030A0"/>
        <rFont val="微软雅黑"/>
        <charset val="134"/>
      </rPr>
      <t>【电荷1】：</t>
    </r>
    <r>
      <rPr>
        <sz val="10"/>
        <color rgb="FF0070C0"/>
        <rFont val="微软雅黑"/>
        <charset val="134"/>
      </rPr>
      <t>该源石技艺不再消耗反应行动。</t>
    </r>
  </si>
  <si>
    <t>闪电风暴</t>
  </si>
  <si>
    <t>球状闪电</t>
  </si>
  <si>
    <t>超电磁炮</t>
  </si>
  <si>
    <t>霆威浩荡</t>
  </si>
  <si>
    <t>正前方无限个战术格
（或800m）</t>
  </si>
  <si>
    <t>蓄能跃动</t>
  </si>
  <si>
    <t>至多3战术格</t>
  </si>
  <si>
    <t>全部单位</t>
  </si>
  <si>
    <t>全部敌方单位</t>
  </si>
  <si>
    <r>
      <rPr>
        <sz val="11"/>
        <color rgb="FF7030A0"/>
        <rFont val="微软雅黑"/>
        <charset val="134"/>
      </rPr>
      <t>【电荷】上限+1，</t>
    </r>
    <r>
      <rPr>
        <sz val="11"/>
        <color rgb="FF0070C0"/>
        <rFont val="微软雅黑"/>
        <charset val="134"/>
      </rPr>
      <t>每当自身的【电荷】耗尽，便获得1个快速行动，每回合最多触发两次。</t>
    </r>
  </si>
  <si>
    <r>
      <rPr>
        <sz val="9"/>
        <color theme="0" tint="-0.5"/>
        <rFont val="微软雅黑"/>
        <charset val="134"/>
      </rPr>
      <t>【引导】至自身下回合开始。
【引导】完成时，</t>
    </r>
    <r>
      <rPr>
        <sz val="9"/>
        <color rgb="FF7030A0"/>
        <rFont val="微软雅黑"/>
        <charset val="134"/>
      </rPr>
      <t>触发所有【雷引】但不摧毁。</t>
    </r>
    <r>
      <rPr>
        <sz val="9"/>
        <color theme="1"/>
        <rFont val="微软雅黑"/>
        <charset val="134"/>
      </rPr>
      <t xml:space="preserve">
</t>
    </r>
    <r>
      <rPr>
        <sz val="9"/>
        <color rgb="FF7030A0"/>
        <rFont val="微软雅黑"/>
        <charset val="134"/>
      </rPr>
      <t>【电荷3】：【引导】开始前，生成3个【雷引】。</t>
    </r>
  </si>
  <si>
    <t>【电荷5】：生成【球状闪电】。</t>
  </si>
  <si>
    <t>攻击1次，本次攻击暴击。
【电荷5】：该源石技艺不再消耗耐力，SP消耗-4。</t>
  </si>
  <si>
    <t>直到自身下回合结束，使自身的【电荷】上限降低至2。
每有1层【电荷】因该源石技艺的释放，或因再次获得而溢出，立即攻击1次。</t>
  </si>
  <si>
    <t>雷引</t>
  </si>
  <si>
    <t>无实体，用于标记雷霆即将落下的地点，在敌人视野中不可见。
雷引创造者的回合开始时，可选择触发1个雷引：摧毁雷引并使雷霆落下，攻击1次，对所有敌方单位造成伤害。
雷引可作为弹射的目标，当雷引被创造者攻击时，可选择触发雷引。</t>
  </si>
  <si>
    <t xml:space="preserve">被视为特殊【雷引】，拥有特殊行动逻辑。
当施术者的回合开始时，可使【球状闪电】进行以下行动之一：
移动1战术格并触发1次【雷引】特性，但不摧毁自身/【突袭】移动至某个【雷引】战术格。
当【球状闪电】触碰到敌方单位时，摧毁自身并攻击1次，该次攻击暴击。
</t>
  </si>
  <si>
    <t>气流</t>
  </si>
  <si>
    <t>Squalls</t>
  </si>
  <si>
    <t>气刃</t>
  </si>
  <si>
    <t>风起</t>
  </si>
  <si>
    <t>阵风</t>
  </si>
  <si>
    <t>爆发气旋</t>
  </si>
  <si>
    <t>统御长空</t>
  </si>
  <si>
    <t>割裂风刃</t>
  </si>
  <si>
    <r>
      <rPr>
        <sz val="14"/>
        <color rgb="FFC00000"/>
        <rFont val="微软雅黑"/>
        <charset val="134"/>
      </rPr>
      <t>施术者对【浮空】或【飞行】单位进行攻击时获得骰面升级</t>
    </r>
    <r>
      <rPr>
        <sz val="14"/>
        <color rgb="FF843C0B"/>
        <rFont val="微软雅黑"/>
        <charset val="134"/>
      </rPr>
      <t>，施加【推击】时力度+2</t>
    </r>
  </si>
  <si>
    <t>在战斗开始时，可选择一名单位，在本场战斗内，其武器的攻击范围向正前方延伸1战术格。</t>
  </si>
  <si>
    <t>攻击两次，造成物理伤害。</t>
  </si>
  <si>
    <t>轻击1次，施加【浮空】，
持续至其下个回合结束</t>
  </si>
  <si>
    <t>攻击1次，额外施加【推击5】</t>
  </si>
  <si>
    <t>轻击1次，施加【推击5】。
可作为反应动作，在即将遭到攻击时释放</t>
  </si>
  <si>
    <t>龙卷</t>
  </si>
  <si>
    <t>风障</t>
  </si>
  <si>
    <t>好风借力</t>
  </si>
  <si>
    <t>气功</t>
  </si>
  <si>
    <t>一帆风顺</t>
  </si>
  <si>
    <t>友方近战单位</t>
  </si>
  <si>
    <t>施术者可免除自身【跳跃】的行动消耗，转而令其仅消耗1SP，可在跳跃的途中激活该效果以改变跳跃的落点，或进入更高的高度层。
同一回合内，仅触发1次</t>
  </si>
  <si>
    <r>
      <rPr>
        <sz val="14"/>
        <color rgb="FFC00000"/>
        <rFont val="微软雅黑"/>
        <charset val="134"/>
      </rPr>
      <t>生成</t>
    </r>
    <r>
      <rPr>
        <sz val="14"/>
        <color rgb="FF7030A0"/>
        <rFont val="微软雅黑"/>
        <charset val="134"/>
      </rPr>
      <t>【旋风】。</t>
    </r>
  </si>
  <si>
    <r>
      <rPr>
        <sz val="10"/>
        <color rgb="FF7F7F7F"/>
        <rFont val="微软雅黑"/>
        <charset val="134"/>
      </rPr>
      <t>指定3个相邻战术格，在其中生成聚集</t>
    </r>
    <r>
      <rPr>
        <sz val="10"/>
        <color rgb="FF7030A0"/>
        <rFont val="微软雅黑"/>
        <charset val="134"/>
      </rPr>
      <t xml:space="preserve">【风障】
</t>
    </r>
    <r>
      <rPr>
        <sz val="10"/>
        <color rgb="FF7F7F7F"/>
        <rFont val="微软雅黑"/>
        <charset val="134"/>
      </rPr>
      <t>可作为反应动作，在即将遭到攻击时释放</t>
    </r>
    <r>
      <rPr>
        <sz val="10"/>
        <color rgb="FF7030A0"/>
        <rFont val="微软雅黑"/>
        <charset val="134"/>
      </rPr>
      <t xml:space="preserve">
风障</t>
    </r>
    <r>
      <rPr>
        <sz val="10"/>
        <color rgb="FF7F7F7F"/>
        <rFont val="微软雅黑"/>
        <charset val="134"/>
      </rPr>
      <t>：透明，可通行，但被视为工业级障碍；施术者下一回合开始时，将其销毁。</t>
    </r>
  </si>
  <si>
    <t>获得2主要行动。</t>
  </si>
  <si>
    <t>使目标能够使用近战武器对身前3战术格内的目标进行攻击，攻击类型被更改为远程，持续至战斗结束。
若选择了自身，返还行动消耗。</t>
  </si>
  <si>
    <t>天穹尘埃</t>
  </si>
  <si>
    <t>旋流涌动</t>
  </si>
  <si>
    <t>扶摇直上</t>
  </si>
  <si>
    <t>风暴降临</t>
  </si>
  <si>
    <t>高天之舞</t>
  </si>
  <si>
    <t>任意个浮空
或飞行的单位</t>
  </si>
  <si>
    <t>处于【浮空】或【飞行】时，被视为拥有【魅影】，总是允许释放完全闪避，并且能够在成功闪避后立即移动2战术格。</t>
  </si>
  <si>
    <t>攻击1次，对所有目标造成伤害。</t>
  </si>
  <si>
    <t>攻击1次，该次攻击骰面降级，
施加【浮空】。</t>
  </si>
  <si>
    <t>施加【飞行】。在自身下回合开始时，结束【飞行】，或消耗3SP以将【飞行】延长至下回合开始。</t>
  </si>
  <si>
    <r>
      <rPr>
        <sz val="12"/>
        <color rgb="FF843C0B"/>
        <rFont val="微软雅黑"/>
        <charset val="134"/>
      </rPr>
      <t>【引导】至自身下回合开始。
【引导】期间对所有目标施加【浮空】，</t>
    </r>
    <r>
      <rPr>
        <sz val="12"/>
        <color rgb="FFC00000"/>
        <rFont val="微软雅黑"/>
        <charset val="134"/>
      </rPr>
      <t>【引导】结束时，攻击七次，骰面降级，对相同释放范围内的任意个单位造成伤害。</t>
    </r>
  </si>
  <si>
    <t>天启之兆</t>
  </si>
  <si>
    <t>狂风之径</t>
  </si>
  <si>
    <t>长风送行</t>
  </si>
  <si>
    <t>扭转乾坤</t>
  </si>
  <si>
    <t>善假于物</t>
  </si>
  <si>
    <t>所有战术格</t>
  </si>
  <si>
    <t>施术者使用该法术进行的攻击与【旋风】若受到火焰因素的影响（如经过烈火地块，或友方火焰术师的施法范围），则会额外造成3点灼燃损伤。
若受侵蚀/毒性因素的影响，改为侵蚀/毒性损伤。若受电能/寒冰因素的影响，改为施加【停顿】/【寒冷】。</t>
  </si>
  <si>
    <t>在所有目标战术格和自身所在格生成【旋风】
从该释放范围围内出发的旋风能移动至多8战术格，而不是5个战术格。</t>
  </si>
  <si>
    <r>
      <rPr>
        <sz val="12"/>
        <color rgb="FF808080"/>
        <rFont val="微软雅黑"/>
        <charset val="134"/>
      </rPr>
      <t>制造一条</t>
    </r>
    <r>
      <rPr>
        <sz val="12"/>
        <color rgb="FF7030A0"/>
        <rFont val="微软雅黑"/>
        <charset val="134"/>
      </rPr>
      <t>【狂风通道】</t>
    </r>
    <r>
      <rPr>
        <sz val="12"/>
        <color rgb="FF808080"/>
        <rFont val="微软雅黑"/>
        <charset val="134"/>
      </rPr>
      <t>：所有单位以相同朝向移动时消耗移动位减半，逆向则消耗翻倍，所有顺风通过狂风通道的远程攻击骰面升级，逆风通过则骰面降级。</t>
    </r>
  </si>
  <si>
    <t>【引导】至下回合开始，【引导】期间，所有目标在回合开始时获得一个额外的主要行动。若在【引导】结束时，立即重新释放该技艺，则免除耐力消耗。</t>
  </si>
  <si>
    <t>【引导】至下回合开始，【引导】期间，将进入施术者攻击范围的所有弹体吸收，【引导】结束时，轻击1次视野内的某单位，若命中，将所吸收的弹体的目标改为该单位。</t>
  </si>
  <si>
    <t>旋风</t>
  </si>
  <si>
    <t>施术者的回合开始时，选定一个战术格为目标位置，向目标位置直线移动至多5个战术格，对途径战术格中的任意个单位施加如下效果：攻击1次，施加【浮空】，持续至其下回合结束。</t>
  </si>
  <si>
    <t>流水</t>
  </si>
  <si>
    <t>WATER</t>
  </si>
  <si>
    <r>
      <rPr>
        <b/>
        <sz val="10"/>
        <color rgb="FF7030A0"/>
        <rFont val="微软雅黑"/>
        <charset val="134"/>
      </rPr>
      <t>【流形】：</t>
    </r>
    <r>
      <rPr>
        <b/>
        <sz val="10"/>
        <rFont val="微软雅黑"/>
        <charset val="134"/>
      </rPr>
      <t>具有等同于施术者HP上限50%的当前HP，没有SP和耐力，其余数据和施术者一致，无法进行普通攻击。流形的日常表现并不具有完美的人形，通常表现为水球的形式，无法作为独立个体行动。</t>
    </r>
  </si>
  <si>
    <t>流形的行动轮次与施术者一致。在施术者释放源石技艺时，可由流形代替释放，若如此做，需要由施术者支付SP和耐力，流形则支付其他资源。</t>
  </si>
  <si>
    <t>撰写人：自燃叶</t>
  </si>
  <si>
    <t>无声润物</t>
  </si>
  <si>
    <t>愈伤水波</t>
  </si>
  <si>
    <t>沐雨</t>
  </si>
  <si>
    <t>沛霖</t>
  </si>
  <si>
    <t>渐进润化</t>
  </si>
  <si>
    <t>默认生效范围</t>
  </si>
  <si>
    <t xml:space="preserve">每场战斗限1次，当你的回合开始时，可选择在自身周围8战术格范围内召唤【流形】。
</t>
  </si>
  <si>
    <t>轻击1次，造成3点侵蚀损伤。
每进入一个新的精英化阶段，造成的侵蚀损伤+1点。</t>
  </si>
  <si>
    <r>
      <rPr>
        <sz val="12"/>
        <color rgb="FF3C5F21"/>
        <rFont val="微软雅黑"/>
        <charset val="134"/>
      </rPr>
      <t>治疗1次，</t>
    </r>
    <r>
      <rPr>
        <sz val="12"/>
        <color rgb="FFC00000"/>
        <rFont val="微软雅黑"/>
        <charset val="134"/>
      </rPr>
      <t>攻击1次</t>
    </r>
    <r>
      <rPr>
        <sz val="12"/>
        <color rgb="FF3C5F21"/>
        <rFont val="微软雅黑"/>
        <charset val="134"/>
      </rPr>
      <t>，可分别指定不同目标
该源石技艺骰面降级。</t>
    </r>
  </si>
  <si>
    <t>施加【魅影】。
该技艺的【魅影】被消耗时，由失去【魅影】的单位立即攻击1次。</t>
  </si>
  <si>
    <t>清除一个指定状态，并治疗1次。
该源石技艺可作为反应动作。</t>
  </si>
  <si>
    <t>液压水炮</t>
  </si>
  <si>
    <t>瀑幕成形</t>
  </si>
  <si>
    <t>踏入泥泞</t>
  </si>
  <si>
    <t>水灵庇护</t>
  </si>
  <si>
    <t>破碎侵蚀</t>
  </si>
  <si>
    <t>由施术者造成的侵蚀损伤爆发会清除目标10点物理抗性，持续至该次爆发结束。
施术者的攻击可改为造成物理伤害，若如此做，每次改变消耗1点SP。</t>
  </si>
  <si>
    <t>攻击1次，并【推击6】。
若该技艺的【推击】因撞击障碍物而停止，则每有1战术格的【推击】被阻挡，对目标造成2点侵蚀损伤。</t>
  </si>
  <si>
    <t>生成【流形】。
若已经拥有【流形】，则改为对【流形】周围8战术格敌人攻击1次，并摧毁【流形】，在所选战术格重新生成。</t>
  </si>
  <si>
    <r>
      <rPr>
        <sz val="14"/>
        <color rgb="FF0070C0"/>
        <rFont val="微软雅黑"/>
        <charset val="134"/>
      </rPr>
      <t>【突袭】移动3战术格，</t>
    </r>
    <r>
      <rPr>
        <sz val="14"/>
        <color rgb="FFC00000"/>
        <rFont val="微软雅黑"/>
        <charset val="134"/>
      </rPr>
      <t>随后对敌方单位攻击1次</t>
    </r>
    <r>
      <rPr>
        <sz val="14"/>
        <color rgb="FF0070C0"/>
        <rFont val="微软雅黑"/>
        <charset val="134"/>
      </rPr>
      <t>，</t>
    </r>
    <r>
      <rPr>
        <sz val="14"/>
        <color theme="7" tint="-0.5"/>
        <rFont val="微软雅黑"/>
        <charset val="134"/>
      </rPr>
      <t>对友方单位治疗1次。</t>
    </r>
  </si>
  <si>
    <r>
      <rPr>
        <sz val="12"/>
        <color theme="7" tint="-0.5"/>
        <rFont val="微软雅黑"/>
        <charset val="134"/>
      </rPr>
      <t>对友方单位施加【屏障12】，</t>
    </r>
    <r>
      <rPr>
        <sz val="12"/>
        <rFont val="微软雅黑"/>
        <charset val="134"/>
      </rPr>
      <t>【引导】至自身下回合开始。</t>
    </r>
    <r>
      <rPr>
        <sz val="12"/>
        <color theme="9" tint="-0.5"/>
        <rFont val="微软雅黑"/>
        <charset val="134"/>
      </rPr>
      <t xml:space="preserve">
</t>
    </r>
    <r>
      <rPr>
        <sz val="12"/>
        <color theme="7" tint="-0.5"/>
        <rFont val="微软雅黑"/>
        <charset val="134"/>
      </rPr>
      <t>【引导】期间，释放范围内的友方单位免疫负面状态。</t>
    </r>
  </si>
  <si>
    <t>掌握怒海</t>
  </si>
  <si>
    <t>混合溶剂</t>
  </si>
  <si>
    <t>青金天幕</t>
  </si>
  <si>
    <t>流水移形</t>
  </si>
  <si>
    <t>身前三列</t>
  </si>
  <si>
    <t>开源节流</t>
  </si>
  <si>
    <t>【流形】</t>
  </si>
  <si>
    <t>施术者的【流形】具有的当前HP+50%，施术者的流水源石技艺消耗的SP-1。</t>
  </si>
  <si>
    <r>
      <rPr>
        <sz val="14"/>
        <color theme="9" tint="-0.5"/>
        <rFont val="微软雅黑"/>
        <charset val="134"/>
      </rPr>
      <t>造成4点侵蚀损伤，</t>
    </r>
    <r>
      <rPr>
        <sz val="14"/>
        <color theme="6" tint="-0.5"/>
        <rFont val="微软雅黑"/>
        <charset val="134"/>
      </rPr>
      <t>【推击5】并施加【战栗】，【沉默】，【束缚】。</t>
    </r>
  </si>
  <si>
    <t>造成3点侵蚀/灼燃/毒性/组织损伤。
该技艺可额外消耗1耐力对自身释放，效果变更为：在本场战斗中，自身的攻击额外造成2点侵蚀/灼燃/毒性/组织损伤。</t>
  </si>
  <si>
    <r>
      <rPr>
        <sz val="14"/>
        <color theme="0" tint="-0.5"/>
        <rFont val="微软雅黑"/>
        <charset val="134"/>
      </rPr>
      <t>【引导】至自身下回合开始.
【引导】完成时，</t>
    </r>
    <r>
      <rPr>
        <sz val="14"/>
        <color rgb="FFC00000"/>
        <rFont val="微软雅黑"/>
        <charset val="134"/>
      </rPr>
      <t>攻击1次，造成6点侵蚀损伤，重复1次。</t>
    </r>
  </si>
  <si>
    <r>
      <rPr>
        <sz val="14"/>
        <color theme="0" tint="-0.5"/>
        <rFont val="微软雅黑"/>
        <charset val="134"/>
      </rPr>
      <t>立即向</t>
    </r>
    <r>
      <rPr>
        <sz val="14"/>
        <color rgb="FF7030A0"/>
        <rFont val="微软雅黑"/>
        <charset val="134"/>
      </rPr>
      <t>【流形】</t>
    </r>
    <r>
      <rPr>
        <sz val="14"/>
        <color theme="0" tint="-0.5"/>
        <rFont val="微软雅黑"/>
        <charset val="134"/>
      </rPr>
      <t>方向</t>
    </r>
    <r>
      <rPr>
        <sz val="14"/>
        <color rgb="FF0070C0"/>
        <rFont val="微软雅黑"/>
        <charset val="134"/>
      </rPr>
      <t>【拉近8】</t>
    </r>
    <r>
      <rPr>
        <sz val="14"/>
        <color theme="0" tint="-0.5"/>
        <rFont val="微软雅黑"/>
        <charset val="134"/>
      </rPr>
      <t>，或是对</t>
    </r>
    <r>
      <rPr>
        <sz val="14"/>
        <color rgb="FF7030A0"/>
        <rFont val="微软雅黑"/>
        <charset val="134"/>
      </rPr>
      <t>【流形】</t>
    </r>
    <r>
      <rPr>
        <sz val="14"/>
        <color theme="0" tint="-0.5"/>
        <rFont val="微软雅黑"/>
        <charset val="134"/>
      </rPr>
      <t>施加</t>
    </r>
    <r>
      <rPr>
        <sz val="14"/>
        <color rgb="FF0070C0"/>
        <rFont val="微软雅黑"/>
        <charset val="134"/>
      </rPr>
      <t>【拉近8】</t>
    </r>
    <r>
      <rPr>
        <sz val="14"/>
        <color theme="0" tint="-0.5"/>
        <rFont val="微软雅黑"/>
        <charset val="134"/>
      </rPr>
      <t>。该源石技艺不会打断【引导】。</t>
    </r>
  </si>
  <si>
    <t>碎漩狂舞</t>
  </si>
  <si>
    <t>镜花水月</t>
  </si>
  <si>
    <t>潮涌，潮枯</t>
  </si>
  <si>
    <t>雨世界</t>
  </si>
  <si>
    <t>流水随形</t>
  </si>
  <si>
    <t>生态耦合</t>
  </si>
  <si>
    <t>单个敌方单位</t>
  </si>
  <si>
    <t>每场战斗限1次，施术者的流形可以复制施术者见过的友方单位，并立即获得用于释放该友方单位技艺的20SP。
每轮次开始时，若流形和施术者相距不超过5战术格，则施术者可和流形调换位置，该移动方式不会打断【引导】。</t>
  </si>
  <si>
    <t>每场战斗限1次，施术者可以立即向【流形】所在战术格的周围4格再生成四个【流形】。
如如此做，所有【流形】将只拥有初始【流形】20%的当前HP，但【流形】将可以进行骰面降级的普通攻击。</t>
  </si>
  <si>
    <r>
      <rPr>
        <sz val="9"/>
        <rFont val="微软雅黑"/>
        <charset val="134"/>
      </rPr>
      <t xml:space="preserve">【引导】至自身下回合开始。
</t>
    </r>
    <r>
      <rPr>
        <sz val="9"/>
        <color theme="6" tint="-0.5"/>
        <rFont val="微软雅黑"/>
        <charset val="134"/>
      </rPr>
      <t>【引导】开始时，立即向指定战术格【拉近6】。</t>
    </r>
    <r>
      <rPr>
        <sz val="9"/>
        <rFont val="微软雅黑"/>
        <charset val="134"/>
      </rPr>
      <t xml:space="preserve">
</t>
    </r>
    <r>
      <rPr>
        <sz val="9"/>
        <color theme="6" tint="-0.5"/>
        <rFont val="微软雅黑"/>
        <charset val="134"/>
      </rPr>
      <t>【引导】持续期间，每当单位行动，则立即向指定战术格【拉近6】</t>
    </r>
    <r>
      <rPr>
        <sz val="9"/>
        <color theme="9" tint="-0.5"/>
        <rFont val="微软雅黑"/>
        <charset val="134"/>
      </rPr>
      <t>并攻击1次；【引导】完成时，造成8点侵蚀损伤。</t>
    </r>
    <r>
      <rPr>
        <sz val="9"/>
        <rFont val="微软雅黑"/>
        <charset val="134"/>
      </rPr>
      <t>该源石技艺可指定战术格。</t>
    </r>
  </si>
  <si>
    <r>
      <rPr>
        <sz val="8"/>
        <rFont val="微软雅黑"/>
        <charset val="134"/>
      </rPr>
      <t xml:space="preserve">【引导】至自身下回合开始。
</t>
    </r>
    <r>
      <rPr>
        <sz val="8"/>
        <color theme="6" tint="-0.5"/>
        <rFont val="微软雅黑"/>
        <charset val="134"/>
      </rPr>
      <t>【引导】期间，在释放范围内的敌方单位获得【停顿】。</t>
    </r>
    <r>
      <rPr>
        <sz val="8"/>
        <color theme="9" tint="-0.5"/>
        <rFont val="微软雅黑"/>
        <charset val="134"/>
      </rPr>
      <t>当敌方单位的回合开始时，攻击1次，造成4点侵蚀损伤</t>
    </r>
    <r>
      <rPr>
        <sz val="8"/>
        <rFont val="微软雅黑"/>
        <charset val="134"/>
      </rPr>
      <t>并</t>
    </r>
    <r>
      <rPr>
        <sz val="8"/>
        <color theme="6" tint="-0.5"/>
        <rFont val="微软雅黑"/>
        <charset val="134"/>
      </rPr>
      <t>施加【停顿】。</t>
    </r>
    <r>
      <rPr>
        <sz val="8"/>
        <rFont val="微软雅黑"/>
        <charset val="134"/>
      </rPr>
      <t xml:space="preserve">
</t>
    </r>
    <r>
      <rPr>
        <sz val="8"/>
        <color theme="9" tint="-0.5"/>
        <rFont val="微软雅黑"/>
        <charset val="134"/>
      </rPr>
      <t>【引导】完成时，解除全部敌方单位的【束缚】，造成8点侵蚀损伤。</t>
    </r>
  </si>
  <si>
    <r>
      <rPr>
        <sz val="10"/>
        <rFont val="微软雅黑"/>
        <charset val="134"/>
      </rPr>
      <t xml:space="preserve">【引导】至自身下回合开始。
</t>
    </r>
    <r>
      <rPr>
        <sz val="10"/>
        <color rgb="FF0070C0"/>
        <rFont val="微软雅黑"/>
        <charset val="134"/>
      </rPr>
      <t>【引导】期间，友方单位的攻击获得两次骰面升级，攻击额外造成2点侵蚀损伤；</t>
    </r>
    <r>
      <rPr>
        <sz val="10"/>
        <color theme="6" tint="-0.5"/>
        <rFont val="微软雅黑"/>
        <charset val="134"/>
      </rPr>
      <t>敌方单位的攻击获得骰面降级，</t>
    </r>
    <r>
      <rPr>
        <sz val="10"/>
        <color theme="9" tint="-0.5"/>
        <rFont val="微软雅黑"/>
        <charset val="134"/>
      </rPr>
      <t>每行动1次，攻击1次。</t>
    </r>
  </si>
  <si>
    <r>
      <rPr>
        <sz val="12"/>
        <rFont val="微软雅黑"/>
        <charset val="134"/>
      </rPr>
      <t>【引导】至战斗结束。</t>
    </r>
    <r>
      <rPr>
        <sz val="12"/>
        <color theme="9" tint="-0.5"/>
        <rFont val="微软雅黑"/>
        <charset val="134"/>
      </rPr>
      <t xml:space="preserve">
【引导】期间，每轮次开始时，【精准】攻击1次并造成8点侵蚀损伤，</t>
    </r>
    <r>
      <rPr>
        <sz val="12"/>
        <color theme="7" tint="-0.5"/>
        <rFont val="微软雅黑"/>
        <charset val="134"/>
      </rPr>
      <t>或治疗2次，恢复6点元素韧性。</t>
    </r>
  </si>
  <si>
    <t>冰霜</t>
  </si>
  <si>
    <t>FROST</t>
  </si>
  <si>
    <t>寒意</t>
  </si>
  <si>
    <t>冰晶凝核</t>
  </si>
  <si>
    <t>冰锥投掷</t>
  </si>
  <si>
    <t>急冻</t>
  </si>
  <si>
    <t>制冻</t>
  </si>
  <si>
    <t>法术攻击命中时，
可额外消耗2SP，
对受击目标施加【寒冷】</t>
  </si>
  <si>
    <t>轻击1次，施加【寒冷】</t>
  </si>
  <si>
    <r>
      <rPr>
        <sz val="14"/>
        <color theme="0" tint="-0.5"/>
        <rFont val="微软雅黑"/>
        <charset val="134"/>
      </rPr>
      <t>生成</t>
    </r>
    <r>
      <rPr>
        <sz val="14"/>
        <color rgb="FF7030A0"/>
        <rFont val="微软雅黑"/>
        <charset val="134"/>
      </rPr>
      <t>【源石冰晶】。</t>
    </r>
  </si>
  <si>
    <t>物理攻击1次。若目标拥有【冻结】，则解除【冻结】并施加【脆弱8】，每进入一个新的精英化阶段，施加的【脆弱】+4。</t>
  </si>
  <si>
    <t>【*引导*】至自身下回合开始。
【*引导*】开始时，获得【屏障100】和【抵抗】。
【*引导*】完成时，清除上述效果。
该源石技艺可作为反应动作，在即将受到攻击时释放。</t>
  </si>
  <si>
    <t>冰环</t>
  </si>
  <si>
    <t>夜生白露</t>
  </si>
  <si>
    <t>冰爆术</t>
  </si>
  <si>
    <t>急冻新星</t>
  </si>
  <si>
    <t>霜华作甲</t>
  </si>
  <si>
    <t>任意个战术格</t>
  </si>
  <si>
    <t>单个【冻结】
单位</t>
  </si>
  <si>
    <t>施术者不会因【冻结】而失能，且能在【寒冷】状态下正常获取快速行动。
施术者被施加【寒冷】时，恢复2SP。</t>
  </si>
  <si>
    <r>
      <rPr>
        <sz val="10"/>
        <color theme="5" tint="-0.5"/>
        <rFont val="微软雅黑"/>
        <charset val="134"/>
      </rPr>
      <t>施加【寒冷】，获得【屏障30】，</t>
    </r>
    <r>
      <rPr>
        <sz val="10"/>
        <color rgb="FFC00000"/>
        <rFont val="微软雅黑"/>
        <charset val="134"/>
      </rPr>
      <t>【引导】至施术者下回合开始，【引导】结束时，对释放范围内的任意个单位进行两次攻击。</t>
    </r>
    <r>
      <rPr>
        <sz val="10"/>
        <rFont val="微软雅黑"/>
        <charset val="134"/>
      </rPr>
      <t>若【屏障】被击破，则【引导】被打断</t>
    </r>
  </si>
  <si>
    <r>
      <rPr>
        <sz val="11"/>
        <color theme="0" tint="-0.5"/>
        <rFont val="微软雅黑"/>
        <charset val="134"/>
      </rPr>
      <t>将施法范围内的任意个战术格改造为【</t>
    </r>
    <r>
      <rPr>
        <sz val="11"/>
        <color rgb="FF7030A0"/>
        <rFont val="微软雅黑"/>
        <charset val="134"/>
      </rPr>
      <t>冰面】</t>
    </r>
    <r>
      <rPr>
        <sz val="11"/>
        <color theme="0" tint="-0.5"/>
        <rFont val="微软雅黑"/>
        <charset val="134"/>
      </rPr>
      <t>，若选中了</t>
    </r>
    <r>
      <rPr>
        <sz val="11"/>
        <color rgb="FF7030A0"/>
        <rFont val="微软雅黑"/>
        <charset val="134"/>
      </rPr>
      <t>【源石冰晶】</t>
    </r>
    <r>
      <rPr>
        <sz val="11"/>
        <color theme="0" tint="-0.5"/>
        <rFont val="微软雅黑"/>
        <charset val="134"/>
      </rPr>
      <t>，则源石冰晶的生效范围也视为施术者的施法范围。</t>
    </r>
  </si>
  <si>
    <t>清除目标的【冻结】，物理攻击1次，该次攻击骰面升级。爆裂的冰晶再引发1次物理攻击，对目标周围中心8范围内的所有目标造成伤害。</t>
  </si>
  <si>
    <t>攻击1次并施加【寒冷】。</t>
  </si>
  <si>
    <t>霜华满天</t>
  </si>
  <si>
    <t>银梅皓土</t>
  </si>
  <si>
    <t>淡白至极</t>
  </si>
  <si>
    <t>零度爆发</t>
  </si>
  <si>
    <t>失温症</t>
  </si>
  <si>
    <t>冰上舞者</t>
  </si>
  <si>
    <t>单个【冻结】单位</t>
  </si>
  <si>
    <t>任意个
【冻结】单位</t>
  </si>
  <si>
    <r>
      <rPr>
        <sz val="12"/>
        <color rgb="FF0070C0"/>
        <rFont val="微软雅黑"/>
        <charset val="134"/>
      </rPr>
      <t>施术者在</t>
    </r>
    <r>
      <rPr>
        <sz val="12"/>
        <color rgb="FF7030A0"/>
        <rFont val="微软雅黑"/>
        <charset val="134"/>
      </rPr>
      <t>【冰面】</t>
    </r>
    <r>
      <rPr>
        <sz val="12"/>
        <color rgb="FF0070C0"/>
        <rFont val="微软雅黑"/>
        <charset val="134"/>
      </rPr>
      <t>上的移动不消耗移动位，同一轮次内至多触发5次
回合结束时，若处在</t>
    </r>
    <r>
      <rPr>
        <sz val="12"/>
        <color rgb="FF7030A0"/>
        <rFont val="微软雅黑"/>
        <charset val="134"/>
      </rPr>
      <t>【冰面】</t>
    </r>
    <r>
      <rPr>
        <sz val="12"/>
        <color rgb="FF0070C0"/>
        <rFont val="微软雅黑"/>
        <charset val="134"/>
      </rPr>
      <t>上，则回复1点SP，</t>
    </r>
    <r>
      <rPr>
        <sz val="12"/>
        <color theme="7" tint="-0.5"/>
        <rFont val="微软雅黑"/>
        <charset val="134"/>
      </rPr>
      <t>对自身施加【魅影】</t>
    </r>
  </si>
  <si>
    <t>在释放范围内选择一个战术格，攻击1次，骰面降级，对该战术格的生效范围内的所有单位造成伤害并施加【寒冷】。可无消耗地重复释放至多两次，但随机选取目标战术格且</t>
  </si>
  <si>
    <t>在目标战术格中生成【源石冰晶】，并且立即触发1次所有【源石冰晶】的回合开始效果。</t>
  </si>
  <si>
    <t>清除目标的【冻结】，
对其造成12点凋亡损伤。</t>
  </si>
  <si>
    <t>清除目标的【冻结】，随后物理攻击1次，该次攻击【暴击】
每选中了一个单位，就消耗6SP</t>
  </si>
  <si>
    <t>施加【冻结】，【引导】至自身下回合开始。
【引导】期间，单位的【冻结】不再解除。
【引导】完成时，可消耗1耐力，【引导】至自身下回合开始，或攻击1次，该次攻击骰面升级。</t>
  </si>
  <si>
    <t>霜雪千年</t>
  </si>
  <si>
    <t>冰河世纪</t>
  </si>
  <si>
    <t>寒刀霜剑</t>
  </si>
  <si>
    <t>至冬国度</t>
  </si>
  <si>
    <t>霜之哀伤</t>
  </si>
  <si>
    <t>【源石冰晶】的生效范围
和【冰面】所在的战术格
也被视为施术者的施法范围</t>
  </si>
  <si>
    <t>源石冰晶</t>
  </si>
  <si>
    <t>所有单位</t>
  </si>
  <si>
    <t>施加【寒冷】时，额外造成2点凋亡损伤。若目标【抵抗】
了【寒冷】或【冻结】的
效果，额外造成3点凋亡损伤</t>
  </si>
  <si>
    <r>
      <rPr>
        <sz val="12"/>
        <color rgb="FF7030A0"/>
        <rFont val="微软雅黑"/>
        <charset val="134"/>
      </rPr>
      <t>【源石冰晶】</t>
    </r>
    <r>
      <rPr>
        <sz val="12"/>
        <color theme="0" tint="-0.5"/>
        <rFont val="微软雅黑"/>
        <charset val="134"/>
      </rPr>
      <t>获得【免疫】，生效范围扩大至中心20，额外施加【迟缓】，持续至施术者下回合结束。</t>
    </r>
  </si>
  <si>
    <t>任意角色的回合开始时，施术者可要求使用生理耐受对抗施术者的源石技艺适应性。若失败，则被施加【寒冷】，持续至战斗结束。</t>
  </si>
  <si>
    <t>凝结并切换至一把所属分支任意，依赖技能为冰霜的近战物理武器，持有时允许施术者不经学习即可使用对应分支的一个效果包含攻击的主动技艺。使用该武器攻击1次后，将其销毁</t>
  </si>
  <si>
    <t>冰面</t>
  </si>
  <si>
    <r>
      <rPr>
        <sz val="10.5"/>
        <color rgb="FF000000"/>
        <rFont val="Times New Roman"/>
        <charset val="134"/>
      </rPr>
      <t>HP</t>
    </r>
    <r>
      <rPr>
        <sz val="10.5"/>
        <color rgb="FF000000"/>
        <rFont val="思源宋体 CN SemiBold"/>
        <charset val="134"/>
      </rPr>
      <t>：</t>
    </r>
    <r>
      <rPr>
        <sz val="10.5"/>
        <color rgb="FF000000"/>
        <rFont val="Times New Roman"/>
        <charset val="134"/>
      </rPr>
      <t>30/50/70</t>
    </r>
  </si>
  <si>
    <t>物抗：10/15/20</t>
  </si>
  <si>
    <t>物抗：/</t>
  </si>
  <si>
    <t>法抗：10/15/20</t>
  </si>
  <si>
    <t>法抗：/</t>
  </si>
  <si>
    <t>在创造者的回合开始时，轻击1次，对图示范围内的任意个单位施加【寒冷】。
HP，物理和法术抗性随精英化阶段提升。</t>
  </si>
  <si>
    <t>处于其中的单位被视为拥有【寒冷】
任意单位在该地形中失衡移动时，每移动一格所消耗的力度减半。
受到火焰或爆炸的影响时即被清除。</t>
  </si>
  <si>
    <t>土石</t>
  </si>
  <si>
    <t>EARTH</t>
  </si>
  <si>
    <t>撰写人：zzkq</t>
  </si>
  <si>
    <t>滚石</t>
  </si>
  <si>
    <t>卷灰</t>
  </si>
  <si>
    <t>沙浪</t>
  </si>
  <si>
    <t>沼泽地</t>
  </si>
  <si>
    <t>地利</t>
  </si>
  <si>
    <t>指定战术格</t>
  </si>
  <si>
    <t>当你处于地面上时，若受到失衡，可以对自身施加【加重2】/【失重2】。</t>
  </si>
  <si>
    <t>物理攻击1次，攻击获得【推击2】。本次攻击需要与目标之间有直线路径。最终落点战术格变为【陷坑】。</t>
  </si>
  <si>
    <t>对目标施加【标记】，无视掩体。</t>
  </si>
  <si>
    <t>获得两个移动位，物理攻击1次
若目标有【标记】，则再法术攻击1次。</t>
  </si>
  <si>
    <t>指定3个战术格，
将其改造为【沼泽】。</t>
  </si>
  <si>
    <t>穿岩贯甲</t>
  </si>
  <si>
    <t>手部钙质化</t>
  </si>
  <si>
    <t>躯体铁质化</t>
  </si>
  <si>
    <t>泥沙俱爆</t>
  </si>
  <si>
    <t>泥古不化</t>
  </si>
  <si>
    <t>大地回馈</t>
  </si>
  <si>
    <t>处于地面之上时，你每回合开始恢复1SP。</t>
  </si>
  <si>
    <t>自身创造、改造的特殊战术格</t>
  </si>
  <si>
    <t>物理攻击1次，获得两个奖励骰。
若目标有【标记】，其获得【脆弱6】</t>
  </si>
  <si>
    <t>【引导】目标至其下个回合开始。
【引导】结束时，治疗目标1次，目标的近战物理攻击获得1次骰面升级，持续至其攻击1次。</t>
  </si>
  <si>
    <t>使目标获得12点物理抗性与法术抗性，每次受到攻击时，获得的12点抗性都会降低4点。</t>
  </si>
  <si>
    <t>指定1个战术格，改造为【沙地】，指定范围内【沼泽】/【沙地】，对其之上的所有单位法术攻击1次，获得2个奖励骰。</t>
  </si>
  <si>
    <t>对指定战术格内的任意单位攻击1次，施加【停顿】，该次攻击骰面升级。</t>
  </si>
  <si>
    <t>息壤生生</t>
  </si>
  <si>
    <t>流光炸裂</t>
  </si>
  <si>
    <t>阵地构成</t>
  </si>
  <si>
    <t>磐岩之躯</t>
  </si>
  <si>
    <t>攻击范围</t>
  </si>
  <si>
    <t>血与石的斡旋</t>
  </si>
  <si>
    <t>默认生效目标</t>
  </si>
  <si>
    <t>回合开始，你可选择：将1耐力转换为4SP/16点HP；将4SP/16点HP转换为1耐力。每次长休限1次。</t>
  </si>
  <si>
    <r>
      <rPr>
        <sz val="12"/>
        <color theme="7" tint="-0.5"/>
        <rFont val="微软雅黑"/>
        <charset val="134"/>
      </rPr>
      <t>对一个目标施加【屏障18】</t>
    </r>
    <r>
      <rPr>
        <sz val="12"/>
        <color theme="4" tint="-0.5"/>
        <rFont val="微软雅黑"/>
        <charset val="134"/>
      </rPr>
      <t>，</t>
    </r>
    <r>
      <rPr>
        <sz val="12"/>
        <color rgb="FF0070C0"/>
        <rFont val="微软雅黑"/>
        <charset val="134"/>
      </rPr>
      <t>屏障持续期间，其获得【伤害强化6】</t>
    </r>
    <r>
      <rPr>
        <sz val="12"/>
        <color theme="4" tint="-0.5"/>
        <rFont val="微软雅黑"/>
        <charset val="134"/>
      </rPr>
      <t>。</t>
    </r>
    <r>
      <rPr>
        <sz val="12"/>
        <color theme="7" tint="-0.5"/>
        <rFont val="微软雅黑"/>
        <charset val="134"/>
      </rPr>
      <t>自身回合开始时，如果该屏障未被击破，则再对其施加【屏障18】。</t>
    </r>
  </si>
  <si>
    <t>对一个目标施加【护盾3】。每次失去【护盾】时，对其中心九宫格内所有单位攻击1次。</t>
  </si>
  <si>
    <t>指定3个战术格，将其分别改造为任意基本地形或【沼泽】。</t>
  </si>
  <si>
    <t>在任意目标回合开始前释放。使一个目标获得【屏障24】，屏障持续期间，其获得【抵抗】。</t>
  </si>
  <si>
    <t>坤仪永固</t>
  </si>
  <si>
    <t>沧海桑田</t>
  </si>
  <si>
    <t>钙质区·范围增生</t>
  </si>
  <si>
    <t>岩画天书</t>
  </si>
  <si>
    <t>地母眷恋</t>
  </si>
  <si>
    <r>
      <rPr>
        <sz val="12"/>
        <color theme="0" tint="-0.5"/>
        <rFont val="微软雅黑"/>
        <charset val="134"/>
      </rPr>
      <t>【引导】至下回合开始，指定3个战术格任意改造，【引导】地形不可摧毁。</t>
    </r>
    <r>
      <rPr>
        <sz val="12"/>
        <color rgb="FF0070C0"/>
        <rFont val="微软雅黑"/>
        <charset val="134"/>
      </rPr>
      <t>目标地形使生效范围内的友方单位获得1次骰面升级，可叠加。</t>
    </r>
  </si>
  <si>
    <t>指定范围内不超过5个战术格，将其当前地形改造为本次战斗轮内曾经存在过的地形，或者其他任意基本地形或【沼泽】。</t>
  </si>
  <si>
    <t>释放任意源石技艺时，额外使释放范围形成【钙质区】，持续至角色下个回合开始，【钙质区】范围内友方单位恢复HP时，同时恢复4点SP。每次长休限1次。</t>
  </si>
  <si>
    <t>回合开始时，可以在释放范围内选择1个无地形的战术格，将其改造为特殊地形【岩画】。友方单位每回合结束前若处于该地形上，获得【抵抗】。</t>
  </si>
  <si>
    <t>HP低于1点时，获得场上地形等级*3的【屏障】，且【屏障】击破前，角色HP锁定为1。每次长休限1次。</t>
  </si>
  <si>
    <t>基本医疗</t>
  </si>
  <si>
    <t>BASIC MEDICINE</t>
  </si>
  <si>
    <t>强化治疗</t>
  </si>
  <si>
    <t>赋能愈合</t>
  </si>
  <si>
    <t>精神护理</t>
  </si>
  <si>
    <t>盲目诊断</t>
  </si>
  <si>
    <t>战场医疗准则</t>
  </si>
  <si>
    <t>每场战斗中，自身第1次受到的伤害减半。
每回合开始时，自身可选择本回合的当前HP恢复效果+2，或是元素韧性恢复效果+1。</t>
  </si>
  <si>
    <t>治疗1次，该次恢复效果+4。</t>
  </si>
  <si>
    <t>治疗1次，使目标下回合的主要行动+1。</t>
  </si>
  <si>
    <t>恢复D2+1点元素韧性。</t>
  </si>
  <si>
    <t>清除目标的全部状态。</t>
  </si>
  <si>
    <t>自动掩护</t>
  </si>
  <si>
    <t>药物配置</t>
  </si>
  <si>
    <t>生命之握</t>
  </si>
  <si>
    <t>爆发剂·α</t>
  </si>
  <si>
    <t>精调药剂</t>
  </si>
  <si>
    <t>元素愈疗转化</t>
  </si>
  <si>
    <t>6SP</t>
  </si>
  <si>
    <t>全部友方单位</t>
  </si>
  <si>
    <t>你可以将治疗1次替换为恢复3点元素韧性。
每进行1次治疗或恢复元素韧性，自身便获得1移动位并立即【突袭】移动，每轮次至多触发3次。</t>
  </si>
  <si>
    <t>XSP</t>
  </si>
  <si>
    <t>使目标的物理抗性/法术抗性+5，持续至目标的下回合开始。
可作为反应行动，在友方单位受到攻击时释放。</t>
  </si>
  <si>
    <t>治疗两次。</t>
  </si>
  <si>
    <t>【拉近5】并治疗1次。</t>
  </si>
  <si>
    <r>
      <rPr>
        <sz val="12"/>
        <color theme="9" tint="-0.5"/>
        <rFont val="微软雅黑"/>
        <charset val="134"/>
      </rPr>
      <t>攻击3次</t>
    </r>
    <r>
      <rPr>
        <sz val="12"/>
        <color rgb="FF0070C0"/>
        <rFont val="微软雅黑"/>
        <charset val="134"/>
      </rPr>
      <t>并施加【伤害增加25】，持续至目标的下回合结束。</t>
    </r>
  </si>
  <si>
    <t>恢复X点SP（X上限为4）。</t>
  </si>
  <si>
    <t>脑啡肽</t>
  </si>
  <si>
    <t>激素连射</t>
  </si>
  <si>
    <t>沉音宁神</t>
  </si>
  <si>
    <t>圣域</t>
  </si>
  <si>
    <t>交感神经激活</t>
  </si>
  <si>
    <t>除自身外全部友方单位</t>
  </si>
  <si>
    <t>友方单个单位</t>
  </si>
  <si>
    <t>当治疗效果和元素恢复效果溢出时，溢出效果额外转化为等量的【屏障】和【元素屏障】，【屏障】可叠加至最高20点，【元素屏障】可叠加至最高6点。</t>
  </si>
  <si>
    <t>【引导】至自身下回合开始。
【引导】期间，当任意友方单位的回合开始，恢复1SP，5HP。</t>
  </si>
  <si>
    <t>清除至多2个指定状态，并使其获得【迅捷】【魅影】【抵抗】，在触发其中1个效果后结束所有本技艺施加的状态。</t>
  </si>
  <si>
    <r>
      <rPr>
        <sz val="14"/>
        <color theme="6" tint="-0.5"/>
        <rFont val="微软雅黑"/>
        <charset val="134"/>
      </rPr>
      <t>施加【睡眠】</t>
    </r>
    <r>
      <rPr>
        <sz val="14"/>
        <color theme="7" tint="-0.5"/>
        <rFont val="微软雅黑"/>
        <charset val="134"/>
      </rPr>
      <t>，并恢复12点元素韧性。</t>
    </r>
  </si>
  <si>
    <t>【引导】至自身下回合开始。
【引导】期间，除自身外的全部友方单位法术抗性/物理抗性+15，元素抗性+2，每当友方单位受到攻击，可立即对其治疗1次。</t>
  </si>
  <si>
    <t>灯火不灭</t>
  </si>
  <si>
    <t>生命流</t>
  </si>
  <si>
    <t>无畏协议</t>
  </si>
  <si>
    <t>慈悲愿景</t>
  </si>
  <si>
    <t>护佑屏障</t>
  </si>
  <si>
    <r>
      <rPr>
        <sz val="9"/>
        <color theme="7" tint="-0.5"/>
        <rFont val="微软雅黑"/>
        <charset val="134"/>
      </rPr>
      <t>【引导】至自身下回合开始。
【引导】完成时，在本场战斗内，角色消耗行动的治疗获得以下效果：
治疗1次变为治疗2次，每次治疗后，可清除目标的1个指定状态；</t>
    </r>
    <r>
      <rPr>
        <sz val="9"/>
        <color theme="9" tint="-0.5"/>
        <rFont val="微软雅黑"/>
        <charset val="134"/>
      </rPr>
      <t>治疗不再能以自身为目标。</t>
    </r>
  </si>
  <si>
    <t>【引导】至自身下回合开始。
【引导】期间，当任意友方单位的回合开始，可将2个友方角色的当前HP调换1次。每次调换后，指定1个单位，治疗1次。</t>
  </si>
  <si>
    <t>施加【伤害增加40】，持续至自身的下个回合开始。</t>
  </si>
  <si>
    <t>将目标的当前HP恢复满。
若目标已经拥有伤残状态，则立即使其伤残状态减轻一级，并将HP上限和当前HP恢复至对应值。</t>
  </si>
  <si>
    <r>
      <rPr>
        <sz val="12"/>
        <color theme="7" tint="-0.5"/>
        <rFont val="微软雅黑"/>
        <charset val="134"/>
      </rPr>
      <t xml:space="preserve">向指定战术格【突袭】移动，移动结束后施加【屏障100】。
</t>
    </r>
    <r>
      <rPr>
        <sz val="12"/>
        <color theme="9" tint="-0.5"/>
        <rFont val="微软雅黑"/>
        <charset val="134"/>
      </rPr>
      <t>每个单位的回合开始时，该【屏障】会流失20点。</t>
    </r>
  </si>
  <si>
    <t>生命</t>
  </si>
  <si>
    <t>LIFE</t>
  </si>
  <si>
    <t>花香疗法</t>
  </si>
  <si>
    <t>未闻花名</t>
  </si>
  <si>
    <t>剧毒孢子</t>
  </si>
  <si>
    <t>蔓生躯壳</t>
  </si>
  <si>
    <t>丛林巨菇</t>
  </si>
  <si>
    <t>野草</t>
  </si>
  <si>
    <t>单个单位（除自身）</t>
  </si>
  <si>
    <r>
      <rPr>
        <sz val="12"/>
        <color theme="0" tint="-0.5"/>
        <rFont val="微软雅黑"/>
        <charset val="134"/>
      </rPr>
      <t>在你释放源石技艺后，将释放范围内的一战术格改造为</t>
    </r>
    <r>
      <rPr>
        <sz val="12"/>
        <color rgb="FF7030A0"/>
        <rFont val="微软雅黑"/>
        <charset val="134"/>
      </rPr>
      <t>【草丛】</t>
    </r>
    <r>
      <rPr>
        <sz val="12"/>
        <color theme="0" tint="-0.5"/>
        <rFont val="微软雅黑"/>
        <charset val="134"/>
      </rPr>
      <t>。</t>
    </r>
    <r>
      <rPr>
        <sz val="12"/>
        <color theme="7" tint="-0.5"/>
        <rFont val="微软雅黑"/>
        <charset val="134"/>
      </rPr>
      <t xml:space="preserve">
每轮次结束时，位于【草丛】的友方单位恢复等同于你总等级*1的HP（精英化阶段零），你总等级*2的HP（精英化阶段一），你总等级*2的HP，2SP（精英化阶段二）。</t>
    </r>
  </si>
  <si>
    <t>【草丛】</t>
  </si>
  <si>
    <t>进行1次治疗，恢复效果+4。</t>
  </si>
  <si>
    <t>下回合的主要动作，快速动作+1。</t>
  </si>
  <si>
    <t>在本场战斗内，当其受到任意元素损伤后，可额外对其造成1点毒性损伤。</t>
  </si>
  <si>
    <t>直到你的下回合开始，每当该单位受到攻击，便对攻击来源造成D2+1点毒性损伤。</t>
  </si>
  <si>
    <r>
      <rPr>
        <sz val="12"/>
        <color theme="0" tint="-0.5"/>
        <rFont val="微软雅黑"/>
        <charset val="134"/>
      </rPr>
      <t>改造为</t>
    </r>
    <r>
      <rPr>
        <sz val="12"/>
        <color rgb="FF7030A0"/>
        <rFont val="微软雅黑"/>
        <charset val="134"/>
      </rPr>
      <t>【巨菇】</t>
    </r>
    <r>
      <rPr>
        <sz val="12"/>
        <color theme="0" tint="-0.5"/>
        <rFont val="微软雅黑"/>
        <charset val="134"/>
      </rPr>
      <t>。</t>
    </r>
  </si>
  <si>
    <t>愈心花香</t>
  </si>
  <si>
    <t>群林颂歌</t>
  </si>
  <si>
    <t>林中落叶</t>
  </si>
  <si>
    <t>护身玫刺</t>
  </si>
  <si>
    <t>浸润</t>
  </si>
  <si>
    <t>默认生效单位（除自身）</t>
  </si>
  <si>
    <r>
      <rPr>
        <sz val="12"/>
        <color theme="0" tint="-0.5"/>
        <rFont val="微软雅黑"/>
        <charset val="134"/>
      </rPr>
      <t>当释放范围内有单位毒性损伤爆发，可立即对其施加</t>
    </r>
    <r>
      <rPr>
        <sz val="12"/>
        <color theme="6" tint="-0.5"/>
        <rFont val="微软雅黑"/>
        <charset val="134"/>
      </rPr>
      <t>【标记】/【停顿】/【困顿】/【震颤】</t>
    </r>
    <r>
      <rPr>
        <sz val="12"/>
        <color theme="0" tint="-0.5"/>
        <rFont val="微软雅黑"/>
        <charset val="134"/>
      </rPr>
      <t>。</t>
    </r>
  </si>
  <si>
    <t>治疗1次。
该源石技艺骰面升级；该技艺可重复1次，若第2次指定重复单位，则恢复效果减半，并施加【伤害增加5】。</t>
  </si>
  <si>
    <t>施加【护盾3】。</t>
  </si>
  <si>
    <r>
      <rPr>
        <sz val="12"/>
        <color theme="1" tint="0.05"/>
        <rFont val="微软雅黑"/>
        <charset val="134"/>
      </rPr>
      <t>直到自身下回合开始</t>
    </r>
    <r>
      <rPr>
        <sz val="12"/>
        <color theme="5" tint="-0.5"/>
        <rFont val="微软雅黑"/>
        <charset val="134"/>
      </rPr>
      <t>，每当单位被施加【停顿】</t>
    </r>
    <r>
      <rPr>
        <sz val="12"/>
        <color theme="1" tint="0.05"/>
        <rFont val="微软雅黑"/>
        <charset val="134"/>
      </rPr>
      <t>，</t>
    </r>
    <r>
      <rPr>
        <sz val="12"/>
        <color rgb="FFC00000"/>
        <rFont val="微软雅黑"/>
        <charset val="134"/>
      </rPr>
      <t>可消耗2SP，对该单位造成3D2点毒性损伤，</t>
    </r>
    <r>
      <rPr>
        <sz val="12"/>
        <color theme="5" tint="-0.5"/>
        <rFont val="微软雅黑"/>
        <charset val="134"/>
      </rPr>
      <t>并施加【停顿】。</t>
    </r>
  </si>
  <si>
    <r>
      <rPr>
        <sz val="12"/>
        <color theme="7" tint="-0.5"/>
        <rFont val="微软雅黑"/>
        <charset val="134"/>
      </rPr>
      <t>直到自身下回合开始，每当单位受到攻击，可消耗2SP，使此次攻击骰面降级</t>
    </r>
    <r>
      <rPr>
        <sz val="12"/>
        <color theme="5" tint="-0.5"/>
        <rFont val="微软雅黑"/>
        <charset val="134"/>
      </rPr>
      <t>，并对攻击来源施加【停顿】。</t>
    </r>
  </si>
  <si>
    <t>青沥连绵</t>
  </si>
  <si>
    <t>亵渎云雾</t>
  </si>
  <si>
    <t>萌生花蕾</t>
  </si>
  <si>
    <t>永盛花园</t>
  </si>
  <si>
    <t>花愿</t>
  </si>
  <si>
    <t>单个【草丛】</t>
  </si>
  <si>
    <r>
      <rPr>
        <sz val="11"/>
        <color theme="0" tint="-0.5"/>
        <rFont val="微软雅黑"/>
        <charset val="134"/>
      </rPr>
      <t xml:space="preserve">当你对单位施加状态时，可选择：
</t>
    </r>
    <r>
      <rPr>
        <sz val="11"/>
        <color theme="7" tint="-0.5"/>
        <rFont val="微软雅黑"/>
        <charset val="134"/>
      </rPr>
      <t>1.恢复该单位等同于施法者精英化阶段*2的当前HP。</t>
    </r>
    <r>
      <rPr>
        <sz val="11"/>
        <color theme="0" tint="-0.5"/>
        <rFont val="微软雅黑"/>
        <charset val="134"/>
      </rPr>
      <t xml:space="preserve">
</t>
    </r>
    <r>
      <rPr>
        <sz val="11"/>
        <color rgb="FFC00000"/>
        <rFont val="微软雅黑"/>
        <charset val="134"/>
      </rPr>
      <t>2.对该单位造成等同于施法者精英化阶段*1的毒性损伤。</t>
    </r>
  </si>
  <si>
    <t>【引导】至自身下回合开始。
【引导】期间，当任意单位的回合开始时，可消耗2SP，进行1次治疗。
【引导】完成或被打断时，立即对全部敌方单位施加【沉默】/【战栗】，持续至目标下回合结束。</t>
  </si>
  <si>
    <t>【引导】至自身下回合开始。
【引导】完成时，造成1点毒性损伤。
若该源石技艺造成了毒性损伤爆发，则立即重复【引导】完成时的效果。</t>
  </si>
  <si>
    <r>
      <rPr>
        <sz val="9"/>
        <color rgb="FFC00000"/>
        <rFont val="微软雅黑"/>
        <charset val="134"/>
      </rPr>
      <t>【引导】至自身下回合开始。
【引导】完成时，造成d2点毒性损伤，</t>
    </r>
    <r>
      <rPr>
        <sz val="9"/>
        <color theme="5" tint="-0.5"/>
        <rFont val="微软雅黑"/>
        <charset val="134"/>
      </rPr>
      <t>并施加【震慑】</t>
    </r>
    <r>
      <rPr>
        <sz val="9"/>
        <color rgb="FFC00000"/>
        <rFont val="微软雅黑"/>
        <charset val="134"/>
      </rPr>
      <t>，持续至其下回合结束。该效果重复3次，</t>
    </r>
    <r>
      <rPr>
        <sz val="9"/>
        <color theme="5" tint="-0.5"/>
        <rFont val="微软雅黑"/>
        <charset val="134"/>
      </rPr>
      <t>在对重复单位释放时，仅第1次源石技艺施加【震慑】，持续至该单位下回合结束。</t>
    </r>
  </si>
  <si>
    <r>
      <rPr>
        <sz val="9"/>
        <color theme="0" tint="-0.5"/>
        <rFont val="微软雅黑"/>
        <charset val="134"/>
      </rPr>
      <t>【引导】至自身下回合开始。</t>
    </r>
    <r>
      <rPr>
        <sz val="9"/>
        <color theme="6" tint="-0.5"/>
        <rFont val="微软雅黑"/>
        <charset val="134"/>
      </rPr>
      <t xml:space="preserve">
</t>
    </r>
    <r>
      <rPr>
        <sz val="9"/>
        <color theme="0" tint="-0.5"/>
        <rFont val="微软雅黑"/>
        <charset val="134"/>
      </rPr>
      <t>【引导】完成时，</t>
    </r>
    <r>
      <rPr>
        <sz val="9"/>
        <color rgb="FF7030A0"/>
        <rFont val="微软雅黑"/>
        <charset val="134"/>
      </rPr>
      <t>指定至多8个【草丛】，改造为【障碍物】。</t>
    </r>
    <r>
      <rPr>
        <sz val="9"/>
        <color theme="6" tint="-0.5"/>
        <rFont val="微软雅黑"/>
        <charset val="134"/>
      </rPr>
      <t xml:space="preserve">
</t>
    </r>
    <r>
      <rPr>
        <sz val="9"/>
        <color theme="0" tint="-0.5"/>
        <rFont val="微软雅黑"/>
        <charset val="134"/>
      </rPr>
      <t>该源石技艺可选定非【草丛】战术格，每选定1个非【草丛】战术格，则SP消耗+1。</t>
    </r>
  </si>
  <si>
    <t>银杏恋歌</t>
  </si>
  <si>
    <t>暖春将至</t>
  </si>
  <si>
    <t>春日悼曲</t>
  </si>
  <si>
    <t>大地慈悲</t>
  </si>
  <si>
    <t>葬花之仪</t>
  </si>
  <si>
    <t>单个元素韧性不高于6的单位</t>
  </si>
  <si>
    <t>在本场战斗内，除非你和指定单位的HP在同一轮次内同时低于过1，否则双方的HP都不会低于1。
你和指定单位的所在战术格被认为拥有【草丛】，且双方受到【草丛】的额外效果翻倍。</t>
  </si>
  <si>
    <r>
      <rPr>
        <sz val="9"/>
        <color theme="0" tint="-0.5"/>
        <rFont val="微软雅黑"/>
        <charset val="134"/>
      </rPr>
      <t>在所在战术格立即生成【草丛】，【</t>
    </r>
    <r>
      <rPr>
        <sz val="9"/>
        <rFont val="微软雅黑"/>
        <charset val="134"/>
      </rPr>
      <t>引导】至自身下回合开始；</t>
    </r>
    <r>
      <rPr>
        <sz val="9"/>
        <color theme="0" tint="-0.5"/>
        <rFont val="微软雅黑"/>
        <charset val="134"/>
      </rPr>
      <t>【引导】完成时，在周围8格生成【草丛】</t>
    </r>
    <r>
      <rPr>
        <sz val="9"/>
        <rFont val="微软雅黑"/>
        <charset val="134"/>
      </rPr>
      <t>，【引导】至自身下回合开始；【引导】完成时，</t>
    </r>
    <r>
      <rPr>
        <sz val="9"/>
        <color theme="7" tint="-0.5"/>
        <rFont val="微软雅黑"/>
        <charset val="134"/>
      </rPr>
      <t>对全部友方单位进行两次治疗，</t>
    </r>
    <r>
      <rPr>
        <sz val="9"/>
        <color rgb="FFC00000"/>
        <rFont val="微软雅黑"/>
        <charset val="134"/>
      </rPr>
      <t>使全部敌方单位立即毒性损伤爆发。</t>
    </r>
  </si>
  <si>
    <r>
      <rPr>
        <sz val="9"/>
        <color theme="0" tint="-0.5"/>
        <rFont val="微软雅黑"/>
        <charset val="134"/>
      </rPr>
      <t>只有战场上存在多于10个【草丛】时可以释放：</t>
    </r>
    <r>
      <rPr>
        <sz val="9"/>
        <color rgb="FFC00000"/>
        <rFont val="微软雅黑"/>
        <charset val="134"/>
      </rPr>
      <t xml:space="preserve">
【引导】至自身下回合开始。
【引导】完成时，进行三次远程攻击，每次攻击造成一个辅助骰的真实伤害。随后，移除战场上的全部【草丛】。</t>
    </r>
  </si>
  <si>
    <r>
      <rPr>
        <sz val="12"/>
        <color rgb="FF0070C0"/>
        <rFont val="微软雅黑"/>
        <charset val="134"/>
      </rPr>
      <t xml:space="preserve">友方单位则施加【护盾】，并使其下一回合的主要行动+1，快速行动+1。
</t>
    </r>
    <r>
      <rPr>
        <sz val="12"/>
        <color theme="5" tint="-0.5"/>
        <rFont val="微软雅黑"/>
        <charset val="134"/>
      </rPr>
      <t>敌方单位则施加【停顿】，并使其下一回合的主要行动-1。</t>
    </r>
  </si>
  <si>
    <t>立即造成1次毒性损伤爆发的效果，但不改变单位的元素韧性，且没有爆发期间。若目标的元素韧性不高于3，无消耗地重复释放1次该技艺。</t>
  </si>
  <si>
    <t>巨菇</t>
  </si>
  <si>
    <r>
      <rPr>
        <sz val="10.5"/>
        <color rgb="FF000000"/>
        <rFont val="Times New Roman"/>
        <charset val="134"/>
      </rPr>
      <t>HP</t>
    </r>
    <r>
      <rPr>
        <sz val="10.5"/>
        <color rgb="FF000000"/>
        <rFont val="思源宋体 CN SemiBold"/>
        <charset val="134"/>
      </rPr>
      <t>：</t>
    </r>
    <r>
      <rPr>
        <sz val="10.5"/>
        <color rgb="FF000000"/>
        <rFont val="Times New Roman"/>
        <charset val="134"/>
      </rPr>
      <t>80</t>
    </r>
  </si>
  <si>
    <t>物理抗性：10</t>
  </si>
  <si>
    <t>法术抗性：10</t>
  </si>
  <si>
    <t>视为【高度1】高台，生成时，所在战术格若拥有单位，则将其顶到【巨菇】顶端（即进入高台）。</t>
  </si>
  <si>
    <t>传心感知</t>
  </si>
  <si>
    <t>PSYCHE Ψ</t>
  </si>
  <si>
    <r>
      <rPr>
        <b/>
        <sz val="9"/>
        <color rgb="FF7030A0"/>
        <rFont val="微软雅黑"/>
        <charset val="134"/>
      </rPr>
      <t>【精神对抗】</t>
    </r>
    <r>
      <rPr>
        <b/>
        <sz val="9"/>
        <color rgb="FF000000"/>
        <rFont val="微软雅黑"/>
        <charset val="134"/>
      </rPr>
      <t>：具有该词条的技艺若选中了具有精神意志的目标，则在发动后需要与目标进行精神意志对抗，对抗成功后，方可启用该技艺的效果。</t>
    </r>
  </si>
  <si>
    <t>【持续】：具有该词条的效果在即将结束时，可将效果来源的技艺对同一目标（即使不在施法范围内）重新释放1次，正常消耗SP和耐力，但不消耗行动</t>
  </si>
  <si>
    <t>安定心神</t>
  </si>
  <si>
    <t>催眠</t>
  </si>
  <si>
    <t>笞心</t>
  </si>
  <si>
    <t>沉思</t>
  </si>
  <si>
    <t>禅意</t>
  </si>
  <si>
    <t>SP上限+3
每进入一个新的精英化阶段
SP上限额外+3</t>
  </si>
  <si>
    <t>解除目标的【震慑】/【眩晕】
/【恐惧】，可作为反应动作，在任何友方单位的回合开始时释放。</t>
  </si>
  <si>
    <t>轻击1次，施加【困顿】至施术者下回合结束，【精神对抗】，无消耗地再次释放该技艺，对单个目标仅限1次。</t>
  </si>
  <si>
    <t>轻击1次，造成4点凋亡损伤
每进入一个新的精英化阶段，凋亡损伤增加2点</t>
  </si>
  <si>
    <t>获得5SP，
下1次进行精神意志对抗时，
获得骰面升级</t>
  </si>
  <si>
    <t>思维之桥</t>
  </si>
  <si>
    <t>悚然震爆</t>
  </si>
  <si>
    <t>溃败暗示</t>
  </si>
  <si>
    <t>点化</t>
  </si>
  <si>
    <t>精神逆构</t>
  </si>
  <si>
    <r>
      <rPr>
        <sz val="14"/>
        <color rgb="FFC00000"/>
        <rFont val="微软雅黑"/>
        <charset val="134"/>
      </rPr>
      <t>每次</t>
    </r>
    <r>
      <rPr>
        <sz val="14"/>
        <color rgb="FF7030A0"/>
        <rFont val="微软雅黑"/>
        <charset val="134"/>
      </rPr>
      <t>【精神对抗】</t>
    </r>
    <r>
      <rPr>
        <sz val="14"/>
        <color rgb="FFC00000"/>
        <rFont val="微软雅黑"/>
        <charset val="134"/>
      </rPr>
      <t>成功时，对失败者额外造成3点凋亡损伤</t>
    </r>
  </si>
  <si>
    <r>
      <rPr>
        <sz val="10"/>
        <color rgb="FF0070C0"/>
        <rFont val="微软雅黑"/>
        <charset val="134"/>
      </rPr>
      <t>若目标同意，则施术者可与目标共享远程攻击范围和施法范围，双方进行的精神意志对抗均可代替对方进行，持续至施术者下一回合开始。该效果可</t>
    </r>
    <r>
      <rPr>
        <sz val="10"/>
        <color rgb="FF7030A0"/>
        <rFont val="微软雅黑"/>
        <charset val="134"/>
      </rPr>
      <t>【持续】</t>
    </r>
    <r>
      <rPr>
        <sz val="10"/>
        <color rgb="FF0070C0"/>
        <rFont val="微软雅黑"/>
        <charset val="134"/>
      </rPr>
      <t>。</t>
    </r>
  </si>
  <si>
    <t>攻击1次，【精神对抗】
施加【恐惧】</t>
  </si>
  <si>
    <t>轻击1次，施加【诅咒】，持续至战斗结束。【诅咒】：进行精神意志对抗时，骰面降级。</t>
  </si>
  <si>
    <t>使目标SP+3
同一回合内，对同一目标只能释放1次。</t>
  </si>
  <si>
    <t>安魂弥撒</t>
  </si>
  <si>
    <t>认知误导</t>
  </si>
  <si>
    <t>灿若黄金</t>
  </si>
  <si>
    <t>开悟</t>
  </si>
  <si>
    <t>思维窃取</t>
  </si>
  <si>
    <t>精神虹吸</t>
  </si>
  <si>
    <t>每当全场任意角色的凋亡损伤爆发削除了SP，施术者就可恢复等量的SP</t>
  </si>
  <si>
    <t>每当自身施加凋亡损伤或神经损伤时，获得1点SP。</t>
  </si>
  <si>
    <r>
      <rPr>
        <sz val="11"/>
        <color rgb="FF0070C0"/>
        <rFont val="微软雅黑"/>
        <charset val="134"/>
      </rPr>
      <t>若目标同意，</t>
    </r>
    <r>
      <rPr>
        <sz val="11"/>
        <color rgb="FFC00000"/>
        <rFont val="微软雅黑"/>
        <charset val="134"/>
      </rPr>
      <t>则目标每次攻击时，都会额外造成2点凋亡损伤</t>
    </r>
    <r>
      <rPr>
        <sz val="11"/>
        <color rgb="FF0070C0"/>
        <rFont val="微软雅黑"/>
        <charset val="134"/>
      </rPr>
      <t>，持续到施术者的下一回合开始，该效果可</t>
    </r>
    <r>
      <rPr>
        <sz val="11"/>
        <color rgb="FF7030A0"/>
        <rFont val="微软雅黑"/>
        <charset val="134"/>
      </rPr>
      <t>【持续】。</t>
    </r>
  </si>
  <si>
    <t>【精神对抗】，使目标下1次攻击的对象改为另一个由施术者决定的目标。可作为反应动作，在任意单位攻击前对其释放。</t>
  </si>
  <si>
    <t>造成6点凋亡损伤，【引导】至施术者下一回合开始，【引导】结束时，再造成6点凋亡损伤。</t>
  </si>
  <si>
    <t>精神意志+2
施术者回合结束时，SP+2
持续至战斗结束，可叠加</t>
  </si>
  <si>
    <t>灵魂连接</t>
  </si>
  <si>
    <t>心灵控制</t>
  </si>
  <si>
    <t>混乱之源</t>
  </si>
  <si>
    <t>复诵</t>
  </si>
  <si>
    <t>心防溃决</t>
  </si>
  <si>
    <t>施术者可将自身施加的凋亡损伤转换为等量的神经损伤。</t>
  </si>
  <si>
    <t>若目标同意，则目标每次攻击时，施术者都可消耗3SP对受攻击的目标追加1次攻击或释放1次技艺（消耗SP而不消耗行动），持续到施术者的下一回合开始，该效果可【持续】</t>
  </si>
  <si>
    <t>【精神对抗】，获取该单位的控制权，直到目标的回合结束，该效果可【持续】,但对同一目标每释放1次，【精神对抗】的骰面就降级1次。</t>
  </si>
  <si>
    <t>受该技艺影响的目标必须立刻无消耗地攻击（可任意转向）1次（除施术者以外的）最近的单位。若无法攻击到其他单位，则改为受到6点神经损伤</t>
  </si>
  <si>
    <t>习得（或更换）目标的一个源石技艺，同一时间内至多习得三个，可在战斗外释放，持续至下1次长休。对敌方单位释放时，需先【精神对抗】</t>
  </si>
  <si>
    <t>名称</t>
  </si>
  <si>
    <t>NAME</t>
  </si>
  <si>
    <t>术师</t>
  </si>
  <si>
    <t>CASTER</t>
  </si>
  <si>
    <t>辅助</t>
  </si>
  <si>
    <t>SUP
PORTER</t>
  </si>
  <si>
    <t>医疗</t>
  </si>
  <si>
    <t>MEDIC</t>
  </si>
  <si>
    <t>精零天赋</t>
  </si>
  <si>
    <t>中坚术师</t>
  </si>
  <si>
    <t>天赋名称</t>
  </si>
  <si>
    <t>术能聚焦</t>
  </si>
  <si>
    <t>扩散术师</t>
  </si>
  <si>
    <t>术能扩散</t>
  </si>
  <si>
    <t>本源术师</t>
  </si>
  <si>
    <t>术能毁灭</t>
  </si>
  <si>
    <t>巫役</t>
  </si>
  <si>
    <t>术能朽坏</t>
  </si>
  <si>
    <t>护佑者</t>
  </si>
  <si>
    <t>术能护佑</t>
  </si>
  <si>
    <t>医师</t>
  </si>
  <si>
    <t>医者-医师</t>
  </si>
  <si>
    <t>群愈师</t>
  </si>
  <si>
    <t>医者-群愈</t>
  </si>
  <si>
    <t>行医</t>
  </si>
  <si>
    <t>医者-行医</t>
  </si>
  <si>
    <t>天赋效果</t>
  </si>
  <si>
    <t>若法术攻击时仅对一个单位造成了伤害，则额外对其造成一个辅助骰真实伤害。
每轮仅触发1次。</t>
  </si>
  <si>
    <t>法术攻击时，可将生效范围从目标更改为
目标战术格/中心4/中心8（精零/精一/精二）</t>
  </si>
  <si>
    <t>对元素损伤爆发期间的单位造成法术伤害时，可改为造成真实伤害。
本源术师通过法术造成的所有属性元素损伤-1</t>
  </si>
  <si>
    <t>选择一种属性的元素损伤，当你法术攻击或造成元素损伤时，额外造成该类型的1/2/3点元素损伤
（精零/精一/精二）</t>
  </si>
  <si>
    <t>允许你释放治疗。
由你施加的溢出治疗量会转换为等量的【屏障】</t>
  </si>
  <si>
    <t>若在一个动作中仅治疗了一个单位，则本动作的检定获得骰面升级。</t>
  </si>
  <si>
    <t>治疗可以同时对至多三个单位释放，但如此做时，获得骰面降级。</t>
  </si>
  <si>
    <t>治疗时，可恢复目标1/2/3点元素韧性。如果治疗量溢出，则元素韧性恢复量翻倍
（精零/精一/精二）</t>
  </si>
  <si>
    <t>分支
特性</t>
  </si>
  <si>
    <r>
      <rPr>
        <b/>
        <sz val="10"/>
        <color theme="0" tint="-0.15"/>
        <rFont val="微软雅黑"/>
        <charset val="134"/>
      </rPr>
      <t>穿戴</t>
    </r>
    <r>
      <rPr>
        <b/>
        <u/>
        <sz val="10"/>
        <color theme="0" tint="-0.15"/>
        <rFont val="微软雅黑"/>
        <charset val="134"/>
      </rPr>
      <t>轻甲</t>
    </r>
    <r>
      <rPr>
        <b/>
        <sz val="10"/>
        <color theme="0" tint="-0.15"/>
        <rFont val="微软雅黑"/>
        <charset val="134"/>
      </rPr>
      <t>，具有</t>
    </r>
    <r>
      <rPr>
        <b/>
        <u/>
        <sz val="10"/>
        <color theme="0" tint="-0.15"/>
        <rFont val="微软雅黑"/>
        <charset val="134"/>
      </rPr>
      <t>高生命值</t>
    </r>
    <r>
      <rPr>
        <b/>
        <sz val="10"/>
        <color theme="0" tint="-0.15"/>
        <rFont val="微软雅黑"/>
        <charset val="134"/>
      </rPr>
      <t>。
擅长对单体敌人造成法术伤害的远程输出职业</t>
    </r>
  </si>
  <si>
    <r>
      <rPr>
        <b/>
        <sz val="10"/>
        <color theme="0" tint="-0.15"/>
        <rFont val="微软雅黑"/>
        <charset val="134"/>
      </rPr>
      <t>穿戴</t>
    </r>
    <r>
      <rPr>
        <b/>
        <u/>
        <sz val="10"/>
        <color theme="0" tint="-0.15"/>
        <rFont val="微软雅黑"/>
        <charset val="134"/>
      </rPr>
      <t>轻甲</t>
    </r>
    <r>
      <rPr>
        <b/>
        <sz val="10"/>
        <color theme="0" tint="-0.15"/>
        <rFont val="微软雅黑"/>
        <charset val="134"/>
      </rPr>
      <t>，具有</t>
    </r>
    <r>
      <rPr>
        <b/>
        <u/>
        <sz val="10"/>
        <color theme="0" tint="-0.15"/>
        <rFont val="微软雅黑"/>
        <charset val="134"/>
      </rPr>
      <t>高生命值</t>
    </r>
    <r>
      <rPr>
        <b/>
        <sz val="10"/>
        <color theme="0" tint="-0.15"/>
        <rFont val="微软雅黑"/>
        <charset val="134"/>
      </rPr>
      <t>。
擅长对群体敌人造成大量法术伤害的远程输出职业</t>
    </r>
  </si>
  <si>
    <r>
      <rPr>
        <b/>
        <sz val="10"/>
        <color theme="0" tint="-0.15"/>
        <rFont val="微软雅黑"/>
        <charset val="134"/>
      </rPr>
      <t>穿戴</t>
    </r>
    <r>
      <rPr>
        <b/>
        <u/>
        <sz val="10"/>
        <color theme="0" tint="-0.15"/>
        <rFont val="微软雅黑"/>
        <charset val="134"/>
      </rPr>
      <t>轻甲</t>
    </r>
    <r>
      <rPr>
        <b/>
        <sz val="10"/>
        <color theme="0" tint="-0.15"/>
        <rFont val="微软雅黑"/>
        <charset val="134"/>
      </rPr>
      <t>，具有</t>
    </r>
    <r>
      <rPr>
        <b/>
        <u/>
        <sz val="10"/>
        <color theme="0" tint="-0.15"/>
        <rFont val="微软雅黑"/>
        <charset val="134"/>
      </rPr>
      <t>高生命值</t>
    </r>
    <r>
      <rPr>
        <b/>
        <sz val="10"/>
        <color theme="0" tint="-0.15"/>
        <rFont val="微软雅黑"/>
        <charset val="134"/>
      </rPr>
      <t>。
擅长对元素损伤爆发的敌人造成大量伤害的远程法术职业</t>
    </r>
  </si>
  <si>
    <r>
      <rPr>
        <b/>
        <sz val="10"/>
        <color theme="0" tint="-0.15"/>
        <rFont val="微软雅黑"/>
        <charset val="134"/>
      </rPr>
      <t>穿戴</t>
    </r>
    <r>
      <rPr>
        <b/>
        <u/>
        <sz val="10"/>
        <color theme="0" tint="-0.15"/>
        <rFont val="微软雅黑"/>
        <charset val="134"/>
      </rPr>
      <t>轻甲</t>
    </r>
    <r>
      <rPr>
        <b/>
        <sz val="10"/>
        <color theme="0" tint="-0.15"/>
        <rFont val="微软雅黑"/>
        <charset val="134"/>
      </rPr>
      <t>，具有</t>
    </r>
    <r>
      <rPr>
        <b/>
        <u/>
        <sz val="10"/>
        <color theme="0" tint="-0.15"/>
        <rFont val="微软雅黑"/>
        <charset val="134"/>
      </rPr>
      <t>高生命值</t>
    </r>
    <r>
      <rPr>
        <b/>
        <sz val="10"/>
        <color theme="0" tint="-0.15"/>
        <rFont val="微软雅黑"/>
        <charset val="134"/>
      </rPr>
      <t>。
擅长对敌人快速造成大量元素损伤的远程法术职业</t>
    </r>
  </si>
  <si>
    <r>
      <rPr>
        <b/>
        <sz val="10"/>
        <color theme="0" tint="-0.15"/>
        <rFont val="微软雅黑"/>
        <charset val="134"/>
      </rPr>
      <t>穿戴</t>
    </r>
    <r>
      <rPr>
        <b/>
        <u/>
        <sz val="10"/>
        <color theme="0" tint="-0.15"/>
        <rFont val="微软雅黑"/>
        <charset val="134"/>
      </rPr>
      <t>轻甲</t>
    </r>
    <r>
      <rPr>
        <b/>
        <sz val="10"/>
        <color theme="0" tint="-0.15"/>
        <rFont val="微软雅黑"/>
        <charset val="134"/>
      </rPr>
      <t>，具有</t>
    </r>
    <r>
      <rPr>
        <b/>
        <u/>
        <sz val="10"/>
        <color theme="0" tint="-0.15"/>
        <rFont val="微软雅黑"/>
        <charset val="134"/>
      </rPr>
      <t>中等生命值</t>
    </r>
    <r>
      <rPr>
        <b/>
        <sz val="10"/>
        <color theme="0" tint="-0.15"/>
        <rFont val="微软雅黑"/>
        <charset val="134"/>
      </rPr>
      <t>。
擅长在治疗和输出双形态中切换以应对多变战场的职业</t>
    </r>
  </si>
  <si>
    <r>
      <rPr>
        <b/>
        <sz val="10"/>
        <color theme="0" tint="-0.15"/>
        <rFont val="微软雅黑"/>
        <charset val="134"/>
      </rPr>
      <t>穿戴</t>
    </r>
    <r>
      <rPr>
        <b/>
        <u/>
        <sz val="10"/>
        <color theme="0" tint="-0.15"/>
        <rFont val="微软雅黑"/>
        <charset val="134"/>
      </rPr>
      <t>轻甲</t>
    </r>
    <r>
      <rPr>
        <b/>
        <sz val="10"/>
        <color theme="0" tint="-0.15"/>
        <rFont val="微软雅黑"/>
        <charset val="134"/>
      </rPr>
      <t>，具有</t>
    </r>
    <r>
      <rPr>
        <b/>
        <u/>
        <sz val="10"/>
        <color theme="0" tint="-0.15"/>
        <rFont val="微软雅黑"/>
        <charset val="134"/>
      </rPr>
      <t>中等生命值</t>
    </r>
    <r>
      <rPr>
        <b/>
        <sz val="10"/>
        <color theme="0" tint="-0.15"/>
        <rFont val="微软雅黑"/>
        <charset val="134"/>
      </rPr>
      <t>。
擅长恢复单体友方HP的治疗职业。</t>
    </r>
  </si>
  <si>
    <r>
      <rPr>
        <b/>
        <sz val="10"/>
        <color theme="0" tint="-0.15"/>
        <rFont val="微软雅黑"/>
        <charset val="134"/>
      </rPr>
      <t>穿戴</t>
    </r>
    <r>
      <rPr>
        <b/>
        <u/>
        <sz val="10"/>
        <color theme="0" tint="-0.15"/>
        <rFont val="微软雅黑"/>
        <charset val="134"/>
      </rPr>
      <t>轻甲</t>
    </r>
    <r>
      <rPr>
        <b/>
        <sz val="10"/>
        <color theme="0" tint="-0.15"/>
        <rFont val="微软雅黑"/>
        <charset val="134"/>
      </rPr>
      <t>，具有</t>
    </r>
    <r>
      <rPr>
        <b/>
        <u/>
        <sz val="10"/>
        <color theme="0" tint="-0.15"/>
        <rFont val="微软雅黑"/>
        <charset val="134"/>
      </rPr>
      <t>中等生命值</t>
    </r>
    <r>
      <rPr>
        <b/>
        <sz val="10"/>
        <color theme="0" tint="-0.15"/>
        <rFont val="微软雅黑"/>
        <charset val="134"/>
      </rPr>
      <t>。
擅长对群体友方角色恢复HP的治疗职业</t>
    </r>
  </si>
  <si>
    <r>
      <rPr>
        <b/>
        <sz val="10"/>
        <color theme="0" tint="-0.15"/>
        <rFont val="微软雅黑"/>
        <charset val="134"/>
      </rPr>
      <t>穿戴</t>
    </r>
    <r>
      <rPr>
        <b/>
        <u/>
        <sz val="10"/>
        <color theme="0" tint="-0.15"/>
        <rFont val="微软雅黑"/>
        <charset val="134"/>
      </rPr>
      <t>轻甲</t>
    </r>
    <r>
      <rPr>
        <b/>
        <sz val="10"/>
        <color theme="0" tint="-0.15"/>
        <rFont val="微软雅黑"/>
        <charset val="134"/>
      </rPr>
      <t>，具有</t>
    </r>
    <r>
      <rPr>
        <b/>
        <u/>
        <sz val="10"/>
        <color theme="0" tint="-0.15"/>
        <rFont val="微软雅黑"/>
        <charset val="134"/>
      </rPr>
      <t>中等生命值</t>
    </r>
    <r>
      <rPr>
        <b/>
        <sz val="10"/>
        <color theme="0" tint="-0.15"/>
        <rFont val="微软雅黑"/>
        <charset val="134"/>
      </rPr>
      <t>。
擅长恢复友方角色HP和元素韧性的治疗职业</t>
    </r>
  </si>
  <si>
    <t>武器
类型</t>
  </si>
  <si>
    <r>
      <rPr>
        <b/>
        <sz val="10"/>
        <color theme="0" tint="-0.15"/>
        <rFont val="微软雅黑"/>
        <charset val="134"/>
      </rPr>
      <t>伤害骰面为</t>
    </r>
    <r>
      <rPr>
        <b/>
        <u/>
        <sz val="10"/>
        <color theme="0" tint="-0.15"/>
        <rFont val="微软雅黑"/>
        <charset val="134"/>
      </rPr>
      <t>D6</t>
    </r>
    <r>
      <rPr>
        <b/>
        <sz val="10"/>
        <color theme="0" tint="-0.15"/>
        <rFont val="微软雅黑"/>
        <charset val="134"/>
      </rPr>
      <t>的</t>
    </r>
    <r>
      <rPr>
        <b/>
        <u/>
        <sz val="10"/>
        <color theme="0" tint="-0.15"/>
        <rFont val="微软雅黑"/>
        <charset val="134"/>
      </rPr>
      <t>远程法术</t>
    </r>
    <r>
      <rPr>
        <b/>
        <sz val="10"/>
        <color theme="0" tint="-0.15"/>
        <rFont val="微软雅黑"/>
        <charset val="134"/>
      </rPr>
      <t>武器，
即各类施法媒介。
相比于其他术师，更注重于对单个目标造成伤害。</t>
    </r>
  </si>
  <si>
    <t>精一天赋</t>
  </si>
  <si>
    <r>
      <rPr>
        <b/>
        <sz val="10"/>
        <color theme="0" tint="-0.15"/>
        <rFont val="微软雅黑"/>
        <charset val="134"/>
      </rPr>
      <t>伤害骰面为</t>
    </r>
    <r>
      <rPr>
        <b/>
        <u/>
        <sz val="10"/>
        <color theme="0" tint="-0.15"/>
        <rFont val="微软雅黑"/>
        <charset val="134"/>
      </rPr>
      <t>D6</t>
    </r>
    <r>
      <rPr>
        <b/>
        <sz val="10"/>
        <color theme="0" tint="-0.15"/>
        <rFont val="微软雅黑"/>
        <charset val="134"/>
      </rPr>
      <t>的</t>
    </r>
    <r>
      <rPr>
        <b/>
        <u/>
        <sz val="10"/>
        <color theme="0" tint="-0.15"/>
        <rFont val="微软雅黑"/>
        <charset val="134"/>
      </rPr>
      <t>远程法术</t>
    </r>
    <r>
      <rPr>
        <b/>
        <sz val="10"/>
        <color theme="0" tint="-0.15"/>
        <rFont val="微软雅黑"/>
        <charset val="134"/>
      </rPr>
      <t>武器，
各类较为沉重与精密的施法媒介。
相比于其他术师，更注重于对成群的目标和地形造成伤害。</t>
    </r>
  </si>
  <si>
    <r>
      <rPr>
        <b/>
        <sz val="10"/>
        <color theme="0" tint="-0.15"/>
        <rFont val="微软雅黑"/>
        <charset val="134"/>
      </rPr>
      <t>伤害骰面为</t>
    </r>
    <r>
      <rPr>
        <b/>
        <u/>
        <sz val="10"/>
        <color theme="0" tint="-0.15"/>
        <rFont val="微软雅黑"/>
        <charset val="134"/>
      </rPr>
      <t>D6</t>
    </r>
    <r>
      <rPr>
        <b/>
        <sz val="10"/>
        <color theme="0" tint="-0.15"/>
        <rFont val="微软雅黑"/>
        <charset val="134"/>
      </rPr>
      <t>的</t>
    </r>
    <r>
      <rPr>
        <b/>
        <u/>
        <sz val="10"/>
        <color theme="0" tint="-0.15"/>
        <rFont val="微软雅黑"/>
        <charset val="134"/>
      </rPr>
      <t>远程法术</t>
    </r>
    <r>
      <rPr>
        <b/>
        <sz val="10"/>
        <color theme="0" tint="-0.15"/>
        <rFont val="微软雅黑"/>
        <charset val="134"/>
      </rPr>
      <t>武器，
各类较为灵活与专业的施法媒介。
相比于其他术师，更注重于造成元素伤害，或者对元素损伤爆发的目标造成致命的伤害。</t>
    </r>
  </si>
  <si>
    <r>
      <rPr>
        <b/>
        <sz val="10"/>
        <color theme="0" tint="-0.15"/>
        <rFont val="微软雅黑"/>
        <charset val="134"/>
      </rPr>
      <t>伤害骰面为</t>
    </r>
    <r>
      <rPr>
        <b/>
        <u/>
        <sz val="10"/>
        <color theme="0" tint="-0.15"/>
        <rFont val="微软雅黑"/>
        <charset val="134"/>
      </rPr>
      <t>D6</t>
    </r>
    <r>
      <rPr>
        <b/>
        <sz val="10"/>
        <color theme="0" tint="-0.15"/>
        <rFont val="微软雅黑"/>
        <charset val="134"/>
      </rPr>
      <t>的</t>
    </r>
    <r>
      <rPr>
        <b/>
        <u/>
        <sz val="10"/>
        <color theme="0" tint="-0.15"/>
        <rFont val="微软雅黑"/>
        <charset val="134"/>
      </rPr>
      <t>远程法术</t>
    </r>
    <r>
      <rPr>
        <b/>
        <sz val="10"/>
        <color theme="0" tint="-0.15"/>
        <rFont val="微软雅黑"/>
        <charset val="134"/>
      </rPr>
      <t>武器，
通常来说是各类施法媒介，也包括一些音乐设备。
相比于其他施法媒介，更看重使用者利用法术造成元素损伤的能力。</t>
    </r>
  </si>
  <si>
    <r>
      <rPr>
        <b/>
        <sz val="10"/>
        <color theme="0" tint="-0.15"/>
        <rFont val="微软雅黑"/>
        <charset val="134"/>
      </rPr>
      <t>伤害骰面为</t>
    </r>
    <r>
      <rPr>
        <b/>
        <u/>
        <sz val="10"/>
        <color theme="0" tint="-0.15"/>
        <rFont val="微软雅黑"/>
        <charset val="134"/>
      </rPr>
      <t>D6</t>
    </r>
    <r>
      <rPr>
        <b/>
        <sz val="10"/>
        <color theme="0" tint="-0.15"/>
        <rFont val="微软雅黑"/>
        <charset val="134"/>
      </rPr>
      <t>的</t>
    </r>
    <r>
      <rPr>
        <b/>
        <u/>
        <sz val="10"/>
        <color theme="0" tint="-0.15"/>
        <rFont val="微软雅黑"/>
        <charset val="134"/>
      </rPr>
      <t>远程法术</t>
    </r>
    <r>
      <rPr>
        <b/>
        <sz val="10"/>
        <color theme="0" tint="-0.15"/>
        <rFont val="微软雅黑"/>
        <charset val="134"/>
      </rPr>
      <t>武器，
通常来说是各类轻便的施法媒介。
相比于其他施法媒介，更看重使用者利用法术来保护他人的能力。</t>
    </r>
  </si>
  <si>
    <r>
      <rPr>
        <b/>
        <sz val="10"/>
        <color theme="0" tint="-0.15"/>
        <rFont val="微软雅黑"/>
        <charset val="134"/>
      </rPr>
      <t>伤害骰面为</t>
    </r>
    <r>
      <rPr>
        <b/>
        <u/>
        <sz val="10"/>
        <color theme="0" tint="-0.15"/>
        <rFont val="微软雅黑"/>
        <charset val="134"/>
      </rPr>
      <t>D6</t>
    </r>
    <r>
      <rPr>
        <b/>
        <sz val="10"/>
        <color theme="0" tint="-0.15"/>
        <rFont val="微软雅黑"/>
        <charset val="134"/>
      </rPr>
      <t>的</t>
    </r>
    <r>
      <rPr>
        <b/>
        <u/>
        <sz val="10"/>
        <color theme="0" tint="-0.15"/>
        <rFont val="微软雅黑"/>
        <charset val="134"/>
      </rPr>
      <t>远程法术</t>
    </r>
    <r>
      <rPr>
        <b/>
        <sz val="10"/>
        <color theme="0" tint="-0.15"/>
        <rFont val="微软雅黑"/>
        <charset val="134"/>
      </rPr>
      <t>武器
各种能够进行战术医疗工作的道具，如药品和用于施展恢复疗愈技艺的施法媒介。</t>
    </r>
  </si>
  <si>
    <r>
      <rPr>
        <b/>
        <sz val="10"/>
        <color theme="0" tint="-0.15"/>
        <rFont val="微软雅黑"/>
        <charset val="134"/>
      </rPr>
      <t>伤害骰面为</t>
    </r>
    <r>
      <rPr>
        <b/>
        <u/>
        <sz val="10"/>
        <color theme="0" tint="-0.15"/>
        <rFont val="微软雅黑"/>
        <charset val="134"/>
      </rPr>
      <t>D6</t>
    </r>
    <r>
      <rPr>
        <b/>
        <sz val="10"/>
        <color theme="0" tint="-0.15"/>
        <rFont val="微软雅黑"/>
        <charset val="134"/>
      </rPr>
      <t>的</t>
    </r>
    <r>
      <rPr>
        <b/>
        <u/>
        <sz val="10"/>
        <color theme="0" tint="-0.15"/>
        <rFont val="微软雅黑"/>
        <charset val="134"/>
      </rPr>
      <t>远程法术</t>
    </r>
    <r>
      <rPr>
        <b/>
        <sz val="10"/>
        <color theme="0" tint="-0.15"/>
        <rFont val="微软雅黑"/>
        <charset val="134"/>
      </rPr>
      <t>武器
通常是用于施展大规模恢复疗愈技艺的施法媒介，并且相比于其他医疗职业，往往更加精密与沉重。</t>
    </r>
  </si>
  <si>
    <r>
      <rPr>
        <b/>
        <sz val="10"/>
        <color theme="0" tint="-0.15"/>
        <rFont val="微软雅黑"/>
        <charset val="134"/>
      </rPr>
      <t>伤害骰面为</t>
    </r>
    <r>
      <rPr>
        <b/>
        <u/>
        <sz val="10"/>
        <color theme="0" tint="-0.15"/>
        <rFont val="微软雅黑"/>
        <charset val="134"/>
      </rPr>
      <t>D6</t>
    </r>
    <r>
      <rPr>
        <b/>
        <sz val="10"/>
        <color theme="0" tint="-0.15"/>
        <rFont val="微软雅黑"/>
        <charset val="134"/>
      </rPr>
      <t>的</t>
    </r>
    <r>
      <rPr>
        <b/>
        <u/>
        <sz val="10"/>
        <color theme="0" tint="-0.15"/>
        <rFont val="微软雅黑"/>
        <charset val="134"/>
      </rPr>
      <t>远程法术</t>
    </r>
    <r>
      <rPr>
        <b/>
        <sz val="10"/>
        <color theme="0" tint="-0.15"/>
        <rFont val="微软雅黑"/>
        <charset val="134"/>
      </rPr>
      <t>武器
通常是用于施展灵活的恢复疗愈技艺的施法媒介，并且相比于其他医疗职业，往往更加轻便，擅长应对更加复杂的情况。</t>
    </r>
  </si>
  <si>
    <t>拒绝</t>
  </si>
  <si>
    <t>坠落</t>
  </si>
  <si>
    <t>中伤</t>
  </si>
  <si>
    <t>禁咒</t>
  </si>
  <si>
    <t>守护</t>
  </si>
  <si>
    <t>及时救难</t>
  </si>
  <si>
    <t>复苏之风</t>
  </si>
  <si>
    <t>应急处理</t>
  </si>
  <si>
    <t>你在【警戒】期间的攻击会对目标施加【束缚】，持续至目标回合结束。</t>
  </si>
  <si>
    <t>允许你使用瞄准。
允许你对战术格使用瞄准，若如此做，被瞄准的战术格会被视为你的攻击范围。</t>
  </si>
  <si>
    <t>允许你对元素损伤爆发的单位释放瞄准，且返还用于瞄准的行动消耗。</t>
  </si>
  <si>
    <t>你在【警戒】期间的法术攻击造成的元素损伤翻倍。若使其元素损伤爆发，额外对其施加【束缚】，持续至其回合结束。</t>
  </si>
  <si>
    <t>对已经具有【屏障】的目标施加【屏障】时，可将屏障的数值相加，而非取代。
（最多相加至50点）</t>
  </si>
  <si>
    <t>攻击范围内的角色受到攻击时，可以将治疗作为反应动作释放。
消耗4SP，以免去该次治疗的行动消耗。</t>
  </si>
  <si>
    <t>在回合开始时，可消耗2SP，使得你可以选取攻击范围之外的单位作为治疗的目标。</t>
  </si>
  <si>
    <t>治疗元素损伤爆发期间的单位时，可消耗4SP，提前结束目标的元素损伤爆发</t>
  </si>
  <si>
    <t>SP
回复</t>
  </si>
  <si>
    <t>每个回合开始时，恢复2SP
每进入一个新的精英化阶段，额外恢复1SP</t>
  </si>
  <si>
    <t>精二天赋</t>
  </si>
  <si>
    <t>攻
击
范
围</t>
  </si>
  <si>
    <t>剥壳</t>
  </si>
  <si>
    <t>回流</t>
  </si>
  <si>
    <t>汲取</t>
  </si>
  <si>
    <t>诅咒</t>
  </si>
  <si>
    <t>坚定</t>
  </si>
  <si>
    <t>精力充沛</t>
  </si>
  <si>
    <t>技力光环</t>
  </si>
  <si>
    <t>预防措施</t>
  </si>
  <si>
    <t>触发【术能聚焦】时，可将造成的额外伤害更改为等同于目标物理抗性的真实伤害</t>
  </si>
  <si>
    <t>使用攻击技艺时，每对一个目标造成了伤害，就回复1SP</t>
  </si>
  <si>
    <t>元素损伤爆发期间的单位被击倒时，回复6SP</t>
  </si>
  <si>
    <t>攻击范围内有单位元素损伤爆发时，回复6SP</t>
  </si>
  <si>
    <t>可为攻击范围内持有【屏障】的单位提供5点物理抗性与法术抗性</t>
  </si>
  <si>
    <t>由你施加的溢出治疗量可
以50%的比例转化为
对应数值的【伤害提升】</t>
  </si>
  <si>
    <t>每次治疗时，额外为其回复1SP</t>
  </si>
  <si>
    <t>攻击范围内的友方单位受到的元素损伤-1</t>
  </si>
  <si>
    <t>物抗
算法</t>
  </si>
  <si>
    <t>通识技能×2+3</t>
  </si>
  <si>
    <t>法抗
算法</t>
  </si>
  <si>
    <t>通识技能×2.5+3</t>
  </si>
  <si>
    <t>生命值算法</t>
  </si>
  <si>
    <t>HP=生理耐受×2+
(生理耐受/8+2)×升级次数</t>
  </si>
  <si>
    <t>V1.2 生活质量更新：
原力：
[精英0]【斗转星移】（削弱）：现在即使目标允许，也不能移动过分的距离了。
[精英2]【行星撞击】（新增）：一个打高重量单位很出色的技艺（不要799）。
光明：
[精英1]【盲目】（新效果）：该系源石技艺造成伤害时，将额外造成2点真实伤害。
[精英1]【典礼之光】（新增）：一个强化友军，同时造成额外攻击的技艺。
暗影：
[精英2]【长夜挽歌】（新增）：一个高速机动，大范围的攻击恐惧技艺。
火焰：
[精英0]【燔祭】（削弱）：燔祭现在拥有回合上限。
[精英1]【涛涛热流】（删除）：【星火射流】现在替换了涛涛热流——更好的火球术，火法现在又少一个保命技能了。
[精英2]【火山】（新效果）：在释放火山前，可【突袭】移动3战术格，也可随时回到技艺开始前的位置，为技艺寻找输出环境提供更方便的方法。
雷电（重做）：
雷电源石技艺进行了一次大规模重做，具体效果请在技艺表内查看。
气流：
[精英0]【割裂风刃】（新增）：一个可以为友军提供额外攻击范围的技艺。
流水：
[独有机制]【流形】（修改）：修改了流形的描述，现在应该会少很多BUG（如果再有就再改好了），请不要再用流形去骗NPC，这太过分了。
[精英0]【渐进润化】（修改）：渐进润化现在可以随时召唤，而不是在战斗开始时强制召唤。
[精英1]【涌泉】（删除）：【瀑幕成形】现在代替了涌泉——一个重新召唤流形的新技艺。
[精英2]【暴雨将至】（删除）：【流水移形】现在代替了暴雨将至——一个和流形配合并进行机动的新技艺。
[模组]【生态耦合】（新增）：新被动，更多的流形，可以攻击的流形！
冰霜：
[精英0]【制冻】（增强）：制冻施加寒冷现在只需2SP！
[精英1]【霜华作甲】（增强）：冰法被施加寒冷现在会获得2SP！
[精英2]【失温症】（新增）：失温症，有力的长期控制技艺。
土石：
[精英0]【大地回馈】（削弱）：大地回馈现在会回复1SP——不要再吸大地的能量了。
[精英1]【泥古不化】（新增）：一个大范围的条件攻击技艺。
基本医疗：
【强化医疗】，【赋能愈合】，【精神护理】，【盲目诊断】，【自动掩护】，【爆发剂·α】，【激素连射】，【沉音宁神】，【无畏协议】，【慈悲愿景】的释放范围都变成了“默认释放范围”。
[精英1]【自动掩护】（调整）：自动掩护提供的抗性-1，但不再消耗主要行动了。
[精英1]【爆发剂·α】（调整）：之前的爆发剂·α明显不太对，修改后让它看起来正常许多，比如变成单体。
[精英1]【元素愈疗转化】（削弱）：元素愈疗转化提供的【突袭】移动效果现在具有上限，不要再拿着药物治疗卡其脱离太了。
[精英1]【精调药剂】（新增）：精调药剂，一个可以为友军恢复SP的技艺。
[精英2]【脑啡肽】（增强）：脑啡肽现在每次触发，还会额外恢复5HP！
生命：
【花香疗法】，【未闻花名】，【剧毒孢子】，【愈心花香】的释放范围都变成了“默认释放范围”。
[精英0]【野草】（增强）：【野草】，【高禾】，【愈浪】现在整合为同一个被动效果。
[精英1]【高禾】（删除）：【浸润】现在代替了高禾——毒性损伤爆发时，你可以施加一个相对自由的状态。
[精英2]【愈浪】（删除）：【花愿】现在代替了愈浪——在你施加状态时，你可以选择治疗友军或杀伤敌军。
[精英0]【丛林巨菇】（新增）：一个能生成高台的技艺——菇菇菇！
传心感知：
[精英2]【精神虹吸】（新增）：一个加快SP恢复的被动。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</si>
</sst>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quot;主要&quot;"/>
    <numFmt numFmtId="177" formatCode="0&quot;SP&quot;"/>
    <numFmt numFmtId="178" formatCode="0&quot;快速&quot;"/>
    <numFmt numFmtId="179" formatCode="0&quot;耐力&quot;"/>
  </numFmts>
  <fonts count="148">
    <font>
      <sz val="11"/>
      <color theme="1"/>
      <name val="宋体"/>
      <charset val="134"/>
      <scheme val="minor"/>
    </font>
    <font>
      <b/>
      <sz val="11"/>
      <color theme="1"/>
      <name val="微软雅黑"/>
      <charset val="134"/>
    </font>
    <font>
      <b/>
      <sz val="36"/>
      <color theme="0"/>
      <name val="华文中宋"/>
      <charset val="134"/>
    </font>
    <font>
      <b/>
      <sz val="20"/>
      <color theme="0"/>
      <name val="Times New Roman"/>
      <charset val="134"/>
    </font>
    <font>
      <b/>
      <sz val="11"/>
      <color rgb="FF000000"/>
      <name val="微软雅黑"/>
      <charset val="134"/>
    </font>
    <font>
      <b/>
      <sz val="11"/>
      <color theme="0"/>
      <name val="微软雅黑"/>
      <charset val="134"/>
    </font>
    <font>
      <b/>
      <sz val="12"/>
      <color theme="0"/>
      <name val="微软雅黑"/>
      <charset val="134"/>
    </font>
    <font>
      <b/>
      <sz val="20"/>
      <color theme="0" tint="-0.15"/>
      <name val="微软雅黑"/>
      <charset val="134"/>
    </font>
    <font>
      <b/>
      <sz val="14"/>
      <color theme="9" tint="-0.5"/>
      <name val="微软雅黑"/>
      <charset val="134"/>
    </font>
    <font>
      <sz val="14"/>
      <color theme="9" tint="-0.5"/>
      <name val="微软雅黑"/>
      <charset val="134"/>
    </font>
    <font>
      <b/>
      <sz val="14"/>
      <color theme="0" tint="-0.15"/>
      <name val="微软雅黑"/>
      <charset val="134"/>
    </font>
    <font>
      <b/>
      <sz val="10"/>
      <color theme="0" tint="-0.15"/>
      <name val="微软雅黑"/>
      <charset val="134"/>
    </font>
    <font>
      <b/>
      <sz val="14"/>
      <color theme="5" tint="-0.5"/>
      <name val="微软雅黑"/>
      <charset val="134"/>
    </font>
    <font>
      <sz val="14"/>
      <color theme="5" tint="-0.5"/>
      <name val="微软雅黑"/>
      <charset val="134"/>
    </font>
    <font>
      <b/>
      <sz val="16"/>
      <color theme="1"/>
      <name val="微软雅黑"/>
      <charset val="134"/>
    </font>
    <font>
      <b/>
      <sz val="12"/>
      <color theme="0" tint="-0.15"/>
      <name val="微软雅黑"/>
      <charset val="134"/>
    </font>
    <font>
      <b/>
      <sz val="14"/>
      <color rgb="FF000000"/>
      <name val="微软雅黑"/>
      <charset val="134"/>
    </font>
    <font>
      <b/>
      <sz val="11"/>
      <color theme="0" tint="-0.15"/>
      <name val="微软雅黑"/>
      <charset val="134"/>
    </font>
    <font>
      <sz val="12"/>
      <color rgb="FF000000"/>
      <name val="微软雅黑"/>
      <charset val="134"/>
    </font>
    <font>
      <b/>
      <sz val="14"/>
      <color theme="4" tint="-0.5"/>
      <name val="微软雅黑"/>
      <charset val="134"/>
    </font>
    <font>
      <sz val="14"/>
      <color theme="4" tint="-0.5"/>
      <name val="微软雅黑"/>
      <charset val="134"/>
    </font>
    <font>
      <b/>
      <sz val="18"/>
      <color theme="0"/>
      <name val="Times New Roman"/>
      <charset val="134"/>
    </font>
    <font>
      <b/>
      <sz val="14"/>
      <color theme="7" tint="-0.5"/>
      <name val="微软雅黑"/>
      <charset val="134"/>
    </font>
    <font>
      <sz val="14"/>
      <color theme="7" tint="-0.5"/>
      <name val="微软雅黑"/>
      <charset val="134"/>
    </font>
    <font>
      <b/>
      <sz val="18"/>
      <color rgb="FF000000"/>
      <name val="华文中宋"/>
      <charset val="134"/>
    </font>
    <font>
      <b/>
      <sz val="26"/>
      <color theme="0"/>
      <name val="Times New Roman"/>
      <charset val="134"/>
    </font>
    <font>
      <b/>
      <sz val="26"/>
      <color rgb="FF000000"/>
      <name val="华文中宋"/>
      <charset val="134"/>
    </font>
    <font>
      <sz val="12"/>
      <color theme="9" tint="-0.5"/>
      <name val="微软雅黑"/>
      <charset val="134"/>
    </font>
    <font>
      <sz val="12"/>
      <color rgb="FFC00000"/>
      <name val="微软雅黑"/>
      <charset val="134"/>
    </font>
    <font>
      <sz val="12"/>
      <color theme="1"/>
      <name val="微软雅黑"/>
      <charset val="134"/>
    </font>
    <font>
      <sz val="12"/>
      <color theme="7" tint="-0.5"/>
      <name val="微软雅黑"/>
      <charset val="134"/>
    </font>
    <font>
      <sz val="12"/>
      <color theme="4" tint="-0.5"/>
      <name val="微软雅黑"/>
      <charset val="134"/>
    </font>
    <font>
      <sz val="12"/>
      <color theme="0" tint="-0.5"/>
      <name val="微软雅黑"/>
      <charset val="134"/>
    </font>
    <font>
      <sz val="14"/>
      <color rgb="FF0070C0"/>
      <name val="微软雅黑"/>
      <charset val="134"/>
    </font>
    <font>
      <sz val="14"/>
      <color theme="0" tint="-0.5"/>
      <name val="微软雅黑"/>
      <charset val="134"/>
    </font>
    <font>
      <b/>
      <sz val="14"/>
      <color rgb="FF0070C0"/>
      <name val="微软雅黑"/>
      <charset val="134"/>
    </font>
    <font>
      <sz val="14"/>
      <color theme="1"/>
      <name val="微软雅黑"/>
      <charset val="134"/>
    </font>
    <font>
      <sz val="12"/>
      <color rgb="FF0070C0"/>
      <name val="微软雅黑"/>
      <charset val="134"/>
    </font>
    <font>
      <sz val="12"/>
      <color theme="5" tint="-0.5"/>
      <name val="微软雅黑"/>
      <charset val="134"/>
    </font>
    <font>
      <sz val="10"/>
      <color rgb="FF0070C0"/>
      <name val="微软雅黑"/>
      <charset val="134"/>
    </font>
    <font>
      <sz val="10"/>
      <color theme="9" tint="-0.5"/>
      <name val="微软雅黑"/>
      <charset val="134"/>
    </font>
    <font>
      <sz val="14"/>
      <color rgb="FFC00000"/>
      <name val="微软雅黑"/>
      <charset val="134"/>
    </font>
    <font>
      <sz val="11"/>
      <color rgb="FF0070C0"/>
      <name val="微软雅黑"/>
      <charset val="134"/>
    </font>
    <font>
      <sz val="11"/>
      <color theme="4" tint="-0.5"/>
      <name val="微软雅黑"/>
      <charset val="134"/>
    </font>
    <font>
      <sz val="12"/>
      <color rgb="FF7030A0"/>
      <name val="微软雅黑"/>
      <charset val="134"/>
    </font>
    <font>
      <sz val="10"/>
      <color rgb="FFC00000"/>
      <name val="微软雅黑"/>
      <charset val="134"/>
    </font>
    <font>
      <b/>
      <sz val="9"/>
      <color rgb="FF7030A0"/>
      <name val="微软雅黑"/>
      <charset val="134"/>
    </font>
    <font>
      <b/>
      <sz val="9"/>
      <color rgb="FF000000"/>
      <name val="微软雅黑"/>
      <charset val="134"/>
    </font>
    <font>
      <b/>
      <sz val="14"/>
      <color rgb="FFC00000"/>
      <name val="微软雅黑"/>
      <charset val="134"/>
    </font>
    <font>
      <sz val="10"/>
      <color theme="7" tint="-0.5"/>
      <name val="微软雅黑"/>
      <charset val="134"/>
    </font>
    <font>
      <sz val="9"/>
      <color theme="4" tint="-0.5"/>
      <name val="微软雅黑"/>
      <charset val="134"/>
    </font>
    <font>
      <sz val="9"/>
      <color theme="7" tint="-0.5"/>
      <name val="微软雅黑"/>
      <charset val="134"/>
    </font>
    <font>
      <sz val="9"/>
      <color theme="0" tint="-0.5"/>
      <name val="微软雅黑"/>
      <charset val="134"/>
    </font>
    <font>
      <b/>
      <sz val="10.5"/>
      <color rgb="FF000000"/>
      <name val="思源宋体 CN SemiBold"/>
      <charset val="134"/>
    </font>
    <font>
      <sz val="10.5"/>
      <color rgb="FF000000"/>
      <name val="思源宋体 CN SemiBold"/>
      <charset val="134"/>
    </font>
    <font>
      <sz val="10.5"/>
      <color rgb="FF000000"/>
      <name val="Times New Roman"/>
      <charset val="134"/>
    </font>
    <font>
      <sz val="10"/>
      <color rgb="FF000000"/>
      <name val="思源宋体 CN SemiBold"/>
      <charset val="134"/>
    </font>
    <font>
      <b/>
      <sz val="10.5"/>
      <color rgb="FF000000"/>
      <name val="微软雅黑"/>
      <charset val="134"/>
    </font>
    <font>
      <sz val="10"/>
      <color rgb="FF000000"/>
      <name val="微软雅黑"/>
      <charset val="134"/>
    </font>
    <font>
      <sz val="12"/>
      <color theme="1" tint="0.05"/>
      <name val="微软雅黑"/>
      <charset val="134"/>
    </font>
    <font>
      <sz val="9"/>
      <color rgb="FFC00000"/>
      <name val="微软雅黑"/>
      <charset val="134"/>
    </font>
    <font>
      <sz val="9"/>
      <color theme="9" tint="-0.5"/>
      <name val="微软雅黑"/>
      <charset val="134"/>
    </font>
    <font>
      <b/>
      <sz val="14"/>
      <color theme="6" tint="-0.5"/>
      <name val="微软雅黑"/>
      <charset val="134"/>
    </font>
    <font>
      <b/>
      <sz val="14"/>
      <color rgb="FF7030A0"/>
      <name val="微软雅黑"/>
      <charset val="134"/>
    </font>
    <font>
      <sz val="11"/>
      <color theme="0" tint="-0.5"/>
      <name val="微软雅黑"/>
      <charset val="134"/>
    </font>
    <font>
      <sz val="11"/>
      <color theme="7" tint="-0.5"/>
      <name val="微软雅黑"/>
      <charset val="134"/>
    </font>
    <font>
      <sz val="9"/>
      <color theme="6" tint="-0.5"/>
      <name val="微软雅黑"/>
      <charset val="134"/>
    </font>
    <font>
      <sz val="14"/>
      <color theme="6" tint="-0.5"/>
      <name val="微软雅黑"/>
      <charset val="134"/>
    </font>
    <font>
      <sz val="10"/>
      <color theme="0" tint="-0.5"/>
      <name val="微软雅黑"/>
      <charset val="134"/>
    </font>
    <font>
      <sz val="11"/>
      <color theme="9" tint="-0.5"/>
      <name val="微软雅黑"/>
      <charset val="134"/>
    </font>
    <font>
      <sz val="12"/>
      <color theme="6" tint="-0.5"/>
      <name val="微软雅黑"/>
      <charset val="134"/>
    </font>
    <font>
      <sz val="10"/>
      <color theme="6" tint="-0.5"/>
      <name val="微软雅黑"/>
      <charset val="134"/>
    </font>
    <font>
      <sz val="12"/>
      <color rgb="FF3C5F21"/>
      <name val="微软雅黑"/>
      <charset val="134"/>
    </font>
    <font>
      <sz val="12"/>
      <color rgb="FF808080"/>
      <name val="微软雅黑"/>
      <charset val="134"/>
    </font>
    <font>
      <sz val="14"/>
      <color rgb="FF3C5F21"/>
      <name val="微软雅黑"/>
      <charset val="134"/>
    </font>
    <font>
      <sz val="10"/>
      <color theme="5" tint="-0.5"/>
      <name val="微软雅黑"/>
      <charset val="134"/>
    </font>
    <font>
      <sz val="10"/>
      <color theme="4" tint="-0.5"/>
      <name val="微软雅黑"/>
      <charset val="134"/>
    </font>
    <font>
      <sz val="11"/>
      <color rgb="FFC00000"/>
      <name val="微软雅黑"/>
      <charset val="134"/>
    </font>
    <font>
      <sz val="9"/>
      <name val="微软雅黑"/>
      <charset val="134"/>
    </font>
    <font>
      <sz val="8"/>
      <name val="微软雅黑"/>
      <charset val="134"/>
    </font>
    <font>
      <b/>
      <sz val="10"/>
      <color rgb="FF7030A0"/>
      <name val="微软雅黑"/>
      <charset val="134"/>
    </font>
    <font>
      <sz val="8"/>
      <color theme="0" tint="-0.5"/>
      <name val="微软雅黑"/>
      <charset val="134"/>
    </font>
    <font>
      <sz val="10"/>
      <name val="微软雅黑"/>
      <charset val="134"/>
    </font>
    <font>
      <sz val="11"/>
      <color rgb="FF7030A0"/>
      <name val="微软雅黑"/>
      <charset val="134"/>
    </font>
    <font>
      <sz val="12"/>
      <name val="微软雅黑"/>
      <charset val="134"/>
    </font>
    <font>
      <b/>
      <sz val="12"/>
      <color rgb="FFFFFFFF"/>
      <name val="微软雅黑"/>
      <charset val="134"/>
    </font>
    <font>
      <sz val="14"/>
      <color rgb="FF843C0B"/>
      <name val="微软雅黑"/>
      <charset val="134"/>
    </font>
    <font>
      <sz val="10"/>
      <color rgb="FF7F7F7F"/>
      <name val="微软雅黑"/>
      <charset val="134"/>
    </font>
    <font>
      <sz val="9"/>
      <color rgb="FF000000"/>
      <name val="思源宋体 CN SemiBold"/>
      <charset val="134"/>
    </font>
    <font>
      <sz val="12"/>
      <color rgb="FF843C0B"/>
      <name val="微软雅黑"/>
      <charset val="134"/>
    </font>
    <font>
      <b/>
      <sz val="14"/>
      <color rgb="FF385723"/>
      <name val="微软雅黑"/>
      <charset val="134"/>
    </font>
    <font>
      <sz val="12"/>
      <color rgb="FF385723"/>
      <name val="微软雅黑"/>
      <charset val="134"/>
    </font>
    <font>
      <sz val="10"/>
      <color rgb="FF7030A0"/>
      <name val="微软雅黑"/>
      <charset val="134"/>
    </font>
    <font>
      <sz val="11"/>
      <color rgb="FF385723"/>
      <name val="微软雅黑"/>
      <charset val="134"/>
    </font>
    <font>
      <sz val="14"/>
      <color rgb="FF7030A0"/>
      <name val="微软雅黑"/>
      <charset val="134"/>
    </font>
    <font>
      <sz val="9"/>
      <color rgb="FF000000"/>
      <name val="微软雅黑"/>
      <charset val="134"/>
    </font>
    <font>
      <sz val="14"/>
      <color rgb="FF000000"/>
      <name val="微软雅黑"/>
      <charset val="134"/>
    </font>
    <font>
      <b/>
      <sz val="10"/>
      <color rgb="FF000000"/>
      <name val="微软雅黑"/>
      <charset val="134"/>
    </font>
    <font>
      <sz val="10"/>
      <color theme="9" tint="-0.25"/>
      <name val="微软雅黑"/>
      <charset val="134"/>
    </font>
    <font>
      <sz val="8"/>
      <color rgb="FFC00000"/>
      <name val="微软雅黑"/>
      <charset val="134"/>
    </font>
    <font>
      <sz val="8"/>
      <color theme="9" tint="-0.5"/>
      <name val="微软雅黑"/>
      <charset val="134"/>
    </font>
    <font>
      <sz val="11"/>
      <color theme="5" tint="-0.5"/>
      <name val="微软雅黑"/>
      <charset val="134"/>
    </font>
    <font>
      <sz val="14"/>
      <color rgb="FF843E0B"/>
      <name val="微软雅黑"/>
      <charset val="134"/>
    </font>
    <font>
      <sz val="10"/>
      <color rgb="FF808080"/>
      <name val="微软雅黑"/>
      <charset val="134"/>
    </font>
    <font>
      <sz val="11"/>
      <color rgb="FF843C0B"/>
      <name val="微软雅黑"/>
      <charset val="134"/>
    </font>
    <font>
      <sz val="9"/>
      <color rgb="FF808080"/>
      <name val="微软雅黑"/>
      <charset val="134"/>
    </font>
    <font>
      <sz val="9"/>
      <color rgb="FF7F7F7F"/>
      <name val="微软雅黑"/>
      <charset val="134"/>
    </font>
    <font>
      <sz val="14"/>
      <color rgb="FF598D32"/>
      <name val="微软雅黑"/>
      <charset val="134"/>
    </font>
    <font>
      <sz val="8"/>
      <color rgb="FF7F7F7F"/>
      <name val="微软雅黑"/>
      <charset val="134"/>
    </font>
    <font>
      <sz val="8"/>
      <color rgb="FF000000"/>
      <name val="微软雅黑"/>
      <charset val="134"/>
    </font>
    <font>
      <sz val="8"/>
      <color rgb="FF808080"/>
      <name val="微软雅黑"/>
      <charset val="134"/>
    </font>
    <font>
      <sz val="11"/>
      <color rgb="FF000000"/>
      <name val="微软雅黑"/>
      <charset val="134"/>
    </font>
    <font>
      <sz val="9"/>
      <color theme="5" tint="-0.5"/>
      <name val="微软雅黑"/>
      <charset val="134"/>
    </font>
    <font>
      <b/>
      <sz val="28"/>
      <color theme="0"/>
      <name val="Times New Roman"/>
      <charset val="134"/>
    </font>
    <font>
      <sz val="12"/>
      <color theme="1"/>
      <name val="宋体"/>
      <charset val="134"/>
      <scheme val="minor"/>
    </font>
    <font>
      <b/>
      <sz val="20"/>
      <color theme="0" tint="-0.05"/>
      <name val="微软雅黑"/>
      <charset val="134"/>
    </font>
    <font>
      <sz val="10.5"/>
      <color theme="1"/>
      <name val="宋体"/>
      <charset val="134"/>
    </font>
    <font>
      <b/>
      <sz val="11"/>
      <name val="微软雅黑"/>
      <charset val="134"/>
    </font>
    <font>
      <b/>
      <sz val="16"/>
      <color theme="0"/>
      <name val="微软雅黑"/>
      <charset val="134"/>
    </font>
    <font>
      <b/>
      <sz val="12"/>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微软雅黑"/>
      <charset val="134"/>
    </font>
    <font>
      <b/>
      <u/>
      <sz val="10"/>
      <color theme="0" tint="-0.15"/>
      <name val="微软雅黑"/>
      <charset val="134"/>
    </font>
    <font>
      <sz val="9"/>
      <color rgb="FF7030A0"/>
      <name val="微软雅黑"/>
      <charset val="134"/>
    </font>
    <font>
      <sz val="14"/>
      <color rgb="FF808080"/>
      <name val="微软雅黑"/>
      <charset val="134"/>
    </font>
    <font>
      <b/>
      <sz val="10"/>
      <name val="微软雅黑"/>
      <charset val="134"/>
    </font>
    <font>
      <sz val="8"/>
      <color theme="6" tint="-0.5"/>
      <name val="微软雅黑"/>
      <charset val="134"/>
    </font>
    <font>
      <b/>
      <sz val="16"/>
      <color theme="0" tint="-0.05"/>
      <name val="微软雅黑"/>
      <charset val="134"/>
    </font>
    <font>
      <sz val="9"/>
      <color theme="1"/>
      <name val="微软雅黑"/>
      <charset val="134"/>
    </font>
    <font>
      <sz val="10.5"/>
      <color theme="1"/>
      <name val="Calibri"/>
      <charset val="134"/>
    </font>
  </fonts>
  <fills count="45">
    <fill>
      <patternFill patternType="none"/>
    </fill>
    <fill>
      <patternFill patternType="gray125"/>
    </fill>
    <fill>
      <patternFill patternType="solid">
        <fgColor theme="1"/>
        <bgColor indexed="64"/>
      </patternFill>
    </fill>
    <fill>
      <patternFill patternType="solid">
        <fgColor theme="1" tint="0.35"/>
        <bgColor indexed="64"/>
      </patternFill>
    </fill>
    <fill>
      <patternFill patternType="solid">
        <fgColor theme="1" tint="0.25"/>
        <bgColor indexed="64"/>
      </patternFill>
    </fill>
    <fill>
      <patternFill patternType="solid">
        <fgColor theme="1" tint="0.5"/>
        <bgColor indexed="64"/>
      </patternFill>
    </fill>
    <fill>
      <patternFill patternType="solid">
        <fgColor theme="0" tint="-0.15"/>
        <bgColor indexed="64"/>
      </patternFill>
    </fill>
    <fill>
      <gradientFill degree="90">
        <stop position="0">
          <color theme="1" tint="0.35"/>
        </stop>
        <stop position="1">
          <color theme="0" tint="-0.15"/>
        </stop>
      </gradientFill>
    </fill>
    <fill>
      <gradientFill degree="90">
        <stop position="0">
          <color theme="0" tint="-0.15"/>
        </stop>
        <stop position="1">
          <color theme="1" tint="0.35"/>
        </stop>
      </gradientFill>
    </fill>
    <fill>
      <patternFill patternType="solid">
        <fgColor theme="6" tint="0.4"/>
        <bgColor indexed="64"/>
      </patternFill>
    </fill>
    <fill>
      <patternFill patternType="solid">
        <fgColor theme="0" tint="-0.05"/>
        <bgColor indexed="64"/>
      </patternFill>
    </fill>
    <fill>
      <patternFill patternType="solid">
        <fgColor theme="7" tint="0.4"/>
        <bgColor indexed="64"/>
      </patternFill>
    </fill>
    <fill>
      <patternFill patternType="solid">
        <fgColor rgb="FFFFFFFF"/>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6">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ck">
        <color rgb="FF000000"/>
      </left>
      <right style="medium">
        <color rgb="FF000000"/>
      </right>
      <top style="thick">
        <color rgb="FF000000"/>
      </top>
      <bottom/>
      <diagonal/>
    </border>
    <border>
      <left style="thin">
        <color rgb="FF000000"/>
      </left>
      <right style="thin">
        <color rgb="FF000000"/>
      </right>
      <top style="thick">
        <color rgb="FF000000"/>
      </top>
      <bottom style="thin">
        <color rgb="FF000000"/>
      </bottom>
      <diagonal/>
    </border>
    <border>
      <left style="thick">
        <color rgb="FF000000"/>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ck">
        <color rgb="FF000000"/>
      </left>
      <right style="medium">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style="medium">
        <color rgb="FF000000"/>
      </top>
      <bottom style="thin">
        <color rgb="FF000000"/>
      </bottom>
      <diagonal/>
    </border>
    <border>
      <left style="thick">
        <color rgb="FF000000"/>
      </left>
      <right style="medium">
        <color rgb="FF000000"/>
      </right>
      <top style="medium">
        <color rgb="FF000000"/>
      </top>
      <bottom/>
      <diagonal/>
    </border>
    <border>
      <left style="thin">
        <color rgb="FF000000"/>
      </left>
      <right style="thin">
        <color rgb="FF000000"/>
      </right>
      <top/>
      <bottom style="thin">
        <color rgb="FF000000"/>
      </bottom>
      <diagonal/>
    </border>
    <border>
      <left/>
      <right/>
      <top/>
      <bottom style="thick">
        <color rgb="FF000000"/>
      </bottom>
      <diagonal/>
    </border>
    <border>
      <left style="thick">
        <color rgb="FF000000"/>
      </left>
      <right style="medium">
        <color rgb="FF000000"/>
      </right>
      <top/>
      <bottom style="thick">
        <color rgb="FF000000"/>
      </bottom>
      <diagonal/>
    </border>
    <border>
      <left style="thin">
        <color rgb="FF000000"/>
      </left>
      <right style="thin">
        <color rgb="FF000000"/>
      </right>
      <top/>
      <bottom style="thick">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diagonal/>
    </border>
    <border>
      <left style="thin">
        <color rgb="FF000000"/>
      </left>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style="thin">
        <color rgb="FF000000"/>
      </top>
      <bottom/>
      <diagonal/>
    </border>
    <border>
      <left/>
      <right style="thick">
        <color rgb="FF000000"/>
      </right>
      <top/>
      <bottom style="medium">
        <color rgb="FF000000"/>
      </bottom>
      <diagonal/>
    </border>
    <border>
      <left style="thin">
        <color rgb="FF000000"/>
      </left>
      <right style="thick">
        <color rgb="FF000000"/>
      </right>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ck">
        <color rgb="FF000000"/>
      </right>
      <top/>
      <bottom style="thick">
        <color rgb="FF000000"/>
      </bottom>
      <diagonal/>
    </border>
    <border>
      <left style="thick">
        <color rgb="FF000000"/>
      </left>
      <right style="thin">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bottom style="medium">
        <color rgb="FF000000"/>
      </bottom>
      <diagonal/>
    </border>
    <border>
      <left style="thick">
        <color rgb="FF000000"/>
      </left>
      <right style="thin">
        <color rgb="FF000000"/>
      </right>
      <top/>
      <bottom style="thin">
        <color rgb="FF000000"/>
      </bottom>
      <diagonal/>
    </border>
    <border>
      <left style="thick">
        <color rgb="FF000000"/>
      </left>
      <right style="thin">
        <color rgb="FF000000"/>
      </right>
      <top/>
      <bottom/>
      <diagonal/>
    </border>
    <border>
      <left style="thick">
        <color rgb="FF000000"/>
      </left>
      <right style="thin">
        <color rgb="FF000000"/>
      </right>
      <top style="medium">
        <color rgb="FF000000"/>
      </top>
      <bottom style="thin">
        <color rgb="FF000000"/>
      </bottom>
      <diagonal/>
    </border>
    <border>
      <left style="thick">
        <color rgb="FF000000"/>
      </left>
      <right style="thin">
        <color rgb="FF000000"/>
      </right>
      <top/>
      <bottom style="thick">
        <color rgb="FF000000"/>
      </bottom>
      <diagonal/>
    </border>
    <border>
      <left style="thin">
        <color rgb="FF000000"/>
      </left>
      <right/>
      <top/>
      <bottom style="thick">
        <color rgb="FF000000"/>
      </bottom>
      <diagonal/>
    </border>
    <border>
      <left/>
      <right style="thick">
        <color rgb="FF000000"/>
      </right>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top style="thick">
        <color rgb="FF000000"/>
      </top>
      <bottom style="dashed">
        <color rgb="FF000000"/>
      </bottom>
      <diagonal/>
    </border>
    <border>
      <left/>
      <right/>
      <top style="thick">
        <color rgb="FF000000"/>
      </top>
      <bottom style="dashed">
        <color rgb="FF000000"/>
      </bottom>
      <diagonal/>
    </border>
    <border>
      <left/>
      <right style="thick">
        <color rgb="FF000000"/>
      </right>
      <top style="thick">
        <color rgb="FF000000"/>
      </top>
      <bottom style="dashed">
        <color rgb="FF000000"/>
      </bottom>
      <diagonal/>
    </border>
    <border>
      <left style="thick">
        <color rgb="FF000000"/>
      </left>
      <right/>
      <top/>
      <bottom style="dashed">
        <color rgb="FF000000"/>
      </bottom>
      <diagonal/>
    </border>
    <border>
      <left/>
      <right/>
      <top/>
      <bottom style="dashed">
        <color rgb="FF000000"/>
      </bottom>
      <diagonal/>
    </border>
    <border>
      <left/>
      <right style="thick">
        <color rgb="FF000000"/>
      </right>
      <top/>
      <bottom style="dashed">
        <color rgb="FF000000"/>
      </bottom>
      <diagonal/>
    </border>
    <border>
      <left style="thick">
        <color rgb="FF000000"/>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dashed">
        <color rgb="FF000000"/>
      </right>
      <top style="thick">
        <color rgb="FF000000"/>
      </top>
      <bottom style="dashed">
        <color rgb="FF000000"/>
      </bottom>
      <diagonal/>
    </border>
    <border>
      <left style="dashed">
        <color rgb="FF000000"/>
      </left>
      <right/>
      <top style="thick">
        <color rgb="FF000000"/>
      </top>
      <bottom/>
      <diagonal/>
    </border>
    <border>
      <left/>
      <right style="thick">
        <color rgb="FF000000"/>
      </right>
      <top style="thick">
        <color rgb="FF000000"/>
      </top>
      <bottom/>
      <diagonal/>
    </border>
    <border>
      <left style="thick">
        <color rgb="FF000000"/>
      </left>
      <right/>
      <top style="dashed">
        <color rgb="FF000000"/>
      </top>
      <bottom style="dashed">
        <color rgb="FF000000"/>
      </bottom>
      <diagonal/>
    </border>
    <border>
      <left/>
      <right style="dashed">
        <color rgb="FF000000"/>
      </right>
      <top style="dashed">
        <color rgb="FF000000"/>
      </top>
      <bottom style="dashed">
        <color rgb="FF000000"/>
      </bottom>
      <diagonal/>
    </border>
    <border>
      <left style="dashed">
        <color rgb="FF000000"/>
      </left>
      <right/>
      <top/>
      <bottom/>
      <diagonal/>
    </border>
    <border>
      <left style="dashed">
        <color rgb="FF000000"/>
      </left>
      <right/>
      <top/>
      <bottom style="dashed">
        <color rgb="FF000000"/>
      </bottom>
      <diagonal/>
    </border>
    <border>
      <left style="thick">
        <color rgb="FF000000"/>
      </left>
      <right/>
      <top style="thick">
        <color rgb="FF000000"/>
      </top>
      <bottom/>
      <diagonal/>
    </border>
    <border>
      <left/>
      <right/>
      <top style="thick">
        <color rgb="FF000000"/>
      </top>
      <bottom/>
      <diagonal/>
    </border>
    <border>
      <left style="thick">
        <color rgb="FF000000"/>
      </left>
      <right style="thick">
        <color rgb="FF000000"/>
      </right>
      <top/>
      <bottom style="thick">
        <color rgb="FF000000"/>
      </bottom>
      <diagonal/>
    </border>
    <border>
      <left style="thick">
        <color rgb="FF000000"/>
      </left>
      <right/>
      <top/>
      <bottom style="thick">
        <color rgb="FF000000"/>
      </bottom>
      <diagonal/>
    </border>
    <border>
      <left style="thick">
        <color rgb="FF000000"/>
      </left>
      <right/>
      <top style="dashed">
        <color rgb="FF000000"/>
      </top>
      <bottom/>
      <diagonal/>
    </border>
    <border>
      <left/>
      <right style="dashed">
        <color rgb="FF000000"/>
      </right>
      <top style="dashed">
        <color rgb="FF000000"/>
      </top>
      <bottom/>
      <diagonal/>
    </border>
    <border>
      <left style="thin">
        <color rgb="FF000000"/>
      </left>
      <right style="thin">
        <color rgb="FF000000"/>
      </right>
      <top style="thick">
        <color rgb="FF000000"/>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ck">
        <color auto="1"/>
      </left>
      <right style="medium">
        <color auto="1"/>
      </right>
      <top style="medium">
        <color auto="1"/>
      </top>
      <bottom style="thick">
        <color auto="1"/>
      </bottom>
      <diagonal/>
    </border>
    <border>
      <left style="medium">
        <color auto="1"/>
      </left>
      <right style="medium">
        <color auto="1"/>
      </right>
      <top style="medium">
        <color auto="1"/>
      </top>
      <bottom style="thick">
        <color auto="1"/>
      </bottom>
      <diagonal/>
    </border>
    <border>
      <left style="thin">
        <color rgb="FF000000"/>
      </left>
      <right/>
      <top style="thick">
        <color rgb="FF000000"/>
      </top>
      <bottom/>
      <diagonal/>
    </border>
    <border>
      <left style="medium">
        <color auto="1"/>
      </left>
      <right style="thick">
        <color auto="1"/>
      </right>
      <top style="thick">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thick">
        <color auto="1"/>
      </right>
      <top style="medium">
        <color auto="1"/>
      </top>
      <bottom style="thick">
        <color auto="1"/>
      </bottom>
      <diagonal/>
    </border>
    <border>
      <left style="thick">
        <color rgb="FF000000"/>
      </left>
      <right style="dashed">
        <color rgb="FF000000"/>
      </right>
      <top style="thick">
        <color rgb="FF000000"/>
      </top>
      <bottom style="dashed">
        <color rgb="FF000000"/>
      </bottom>
      <diagonal/>
    </border>
    <border>
      <left style="dashed">
        <color rgb="FF000000"/>
      </left>
      <right style="dashed">
        <color rgb="FF000000"/>
      </right>
      <top style="thick">
        <color rgb="FF000000"/>
      </top>
      <bottom style="dashed">
        <color rgb="FF000000"/>
      </bottom>
      <diagonal/>
    </border>
    <border>
      <left style="dashed">
        <color rgb="FF000000"/>
      </left>
      <right style="thick">
        <color rgb="FF000000"/>
      </right>
      <top style="thick">
        <color rgb="FF000000"/>
      </top>
      <bottom style="dashed">
        <color rgb="FF000000"/>
      </bottom>
      <diagonal/>
    </border>
    <border>
      <left style="thick">
        <color rgb="FF000000"/>
      </left>
      <right style="dashed">
        <color rgb="FF000000"/>
      </right>
      <top style="dashed">
        <color rgb="FF000000"/>
      </top>
      <bottom style="dashed">
        <color rgb="FF000000"/>
      </bottom>
      <diagonal/>
    </border>
    <border>
      <left style="dashed">
        <color rgb="FF000000"/>
      </left>
      <right style="dashed">
        <color rgb="FF000000"/>
      </right>
      <top style="dashed">
        <color rgb="FF000000"/>
      </top>
      <bottom style="dashed">
        <color rgb="FF000000"/>
      </bottom>
      <diagonal/>
    </border>
    <border>
      <left style="dashed">
        <color rgb="FF000000"/>
      </left>
      <right style="thick">
        <color rgb="FF000000"/>
      </right>
      <top style="dashed">
        <color rgb="FF000000"/>
      </top>
      <bottom style="dashed">
        <color rgb="FF00000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auto="1"/>
      </left>
      <right/>
      <top style="thick">
        <color auto="1"/>
      </top>
      <bottom/>
      <diagonal/>
    </border>
    <border>
      <left/>
      <right/>
      <top style="thick">
        <color auto="1"/>
      </top>
      <bottom/>
      <diagonal/>
    </border>
    <border>
      <left style="thick">
        <color auto="1"/>
      </left>
      <right style="dashed">
        <color auto="1"/>
      </right>
      <top style="thick">
        <color auto="1"/>
      </top>
      <bottom style="medium">
        <color auto="1"/>
      </bottom>
      <diagonal/>
    </border>
    <border>
      <left style="dashed">
        <color auto="1"/>
      </left>
      <right style="dashed">
        <color auto="1"/>
      </right>
      <top style="thick">
        <color auto="1"/>
      </top>
      <bottom style="medium">
        <color auto="1"/>
      </bottom>
      <diagonal/>
    </border>
    <border>
      <left style="thick">
        <color auto="1"/>
      </left>
      <right/>
      <top/>
      <bottom/>
      <diagonal/>
    </border>
    <border>
      <left style="thick">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style="thick">
        <color auto="1"/>
      </left>
      <right/>
      <top style="medium">
        <color auto="1"/>
      </top>
      <bottom style="thick">
        <color auto="1"/>
      </bottom>
      <diagonal/>
    </border>
    <border>
      <left style="thick">
        <color auto="1"/>
      </left>
      <right style="dashed">
        <color auto="1"/>
      </right>
      <top style="medium">
        <color auto="1"/>
      </top>
      <bottom style="thick">
        <color auto="1"/>
      </bottom>
      <diagonal/>
    </border>
    <border>
      <left style="dashed">
        <color auto="1"/>
      </left>
      <right style="dashed">
        <color auto="1"/>
      </right>
      <top style="medium">
        <color auto="1"/>
      </top>
      <bottom style="thick">
        <color auto="1"/>
      </bottom>
      <diagonal/>
    </border>
    <border>
      <left style="dashed">
        <color auto="1"/>
      </left>
      <right style="thick">
        <color auto="1"/>
      </right>
      <top style="thick">
        <color auto="1"/>
      </top>
      <bottom style="medium">
        <color auto="1"/>
      </bottom>
      <diagonal/>
    </border>
    <border>
      <left style="dashed">
        <color auto="1"/>
      </left>
      <right style="thick">
        <color auto="1"/>
      </right>
      <top style="medium">
        <color auto="1"/>
      </top>
      <bottom style="medium">
        <color auto="1"/>
      </bottom>
      <diagonal/>
    </border>
    <border>
      <left style="dashed">
        <color auto="1"/>
      </left>
      <right style="thick">
        <color auto="1"/>
      </right>
      <top style="medium">
        <color auto="1"/>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0"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0" fillId="14" borderId="118" applyNumberFormat="0" applyFont="0" applyAlignment="0" applyProtection="0">
      <alignment vertical="center"/>
    </xf>
    <xf numFmtId="0" fontId="122"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5" fillId="0" borderId="119" applyNumberFormat="0" applyFill="0" applyAlignment="0" applyProtection="0">
      <alignment vertical="center"/>
    </xf>
    <xf numFmtId="0" fontId="126" fillId="0" borderId="119" applyNumberFormat="0" applyFill="0" applyAlignment="0" applyProtection="0">
      <alignment vertical="center"/>
    </xf>
    <xf numFmtId="0" fontId="127" fillId="0" borderId="120" applyNumberFormat="0" applyFill="0" applyAlignment="0" applyProtection="0">
      <alignment vertical="center"/>
    </xf>
    <xf numFmtId="0" fontId="127" fillId="0" borderId="0" applyNumberFormat="0" applyFill="0" applyBorder="0" applyAlignment="0" applyProtection="0">
      <alignment vertical="center"/>
    </xf>
    <xf numFmtId="0" fontId="128" fillId="15" borderId="121" applyNumberFormat="0" applyAlignment="0" applyProtection="0">
      <alignment vertical="center"/>
    </xf>
    <xf numFmtId="0" fontId="129" fillId="16" borderId="122" applyNumberFormat="0" applyAlignment="0" applyProtection="0">
      <alignment vertical="center"/>
    </xf>
    <xf numFmtId="0" fontId="130" fillId="16" borderId="121" applyNumberFormat="0" applyAlignment="0" applyProtection="0">
      <alignment vertical="center"/>
    </xf>
    <xf numFmtId="0" fontId="131" fillId="17" borderId="123" applyNumberFormat="0" applyAlignment="0" applyProtection="0">
      <alignment vertical="center"/>
    </xf>
    <xf numFmtId="0" fontId="132" fillId="0" borderId="124" applyNumberFormat="0" applyFill="0" applyAlignment="0" applyProtection="0">
      <alignment vertical="center"/>
    </xf>
    <xf numFmtId="0" fontId="133" fillId="0" borderId="125" applyNumberFormat="0" applyFill="0" applyAlignment="0" applyProtection="0">
      <alignment vertical="center"/>
    </xf>
    <xf numFmtId="0" fontId="134" fillId="18" borderId="0" applyNumberFormat="0" applyBorder="0" applyAlignment="0" applyProtection="0">
      <alignment vertical="center"/>
    </xf>
    <xf numFmtId="0" fontId="135" fillId="19" borderId="0" applyNumberFormat="0" applyBorder="0" applyAlignment="0" applyProtection="0">
      <alignment vertical="center"/>
    </xf>
    <xf numFmtId="0" fontId="136" fillId="20" borderId="0" applyNumberFormat="0" applyBorder="0" applyAlignment="0" applyProtection="0">
      <alignment vertical="center"/>
    </xf>
    <xf numFmtId="0" fontId="137" fillId="21" borderId="0" applyNumberFormat="0" applyBorder="0" applyAlignment="0" applyProtection="0">
      <alignment vertical="center"/>
    </xf>
    <xf numFmtId="0" fontId="138" fillId="22" borderId="0" applyNumberFormat="0" applyBorder="0" applyAlignment="0" applyProtection="0">
      <alignment vertical="center"/>
    </xf>
    <xf numFmtId="0" fontId="138" fillId="23" borderId="0" applyNumberFormat="0" applyBorder="0" applyAlignment="0" applyProtection="0">
      <alignment vertical="center"/>
    </xf>
    <xf numFmtId="0" fontId="137" fillId="24" borderId="0" applyNumberFormat="0" applyBorder="0" applyAlignment="0" applyProtection="0">
      <alignment vertical="center"/>
    </xf>
    <xf numFmtId="0" fontId="137" fillId="25" borderId="0" applyNumberFormat="0" applyBorder="0" applyAlignment="0" applyProtection="0">
      <alignment vertical="center"/>
    </xf>
    <xf numFmtId="0" fontId="138" fillId="26" borderId="0" applyNumberFormat="0" applyBorder="0" applyAlignment="0" applyProtection="0">
      <alignment vertical="center"/>
    </xf>
    <xf numFmtId="0" fontId="138" fillId="27" borderId="0" applyNumberFormat="0" applyBorder="0" applyAlignment="0" applyProtection="0">
      <alignment vertical="center"/>
    </xf>
    <xf numFmtId="0" fontId="137" fillId="28" borderId="0" applyNumberFormat="0" applyBorder="0" applyAlignment="0" applyProtection="0">
      <alignment vertical="center"/>
    </xf>
    <xf numFmtId="0" fontId="137" fillId="29" borderId="0" applyNumberFormat="0" applyBorder="0" applyAlignment="0" applyProtection="0">
      <alignment vertical="center"/>
    </xf>
    <xf numFmtId="0" fontId="138" fillId="30" borderId="0" applyNumberFormat="0" applyBorder="0" applyAlignment="0" applyProtection="0">
      <alignment vertical="center"/>
    </xf>
    <xf numFmtId="0" fontId="138" fillId="31" borderId="0" applyNumberFormat="0" applyBorder="0" applyAlignment="0" applyProtection="0">
      <alignment vertical="center"/>
    </xf>
    <xf numFmtId="0" fontId="137" fillId="32" borderId="0" applyNumberFormat="0" applyBorder="0" applyAlignment="0" applyProtection="0">
      <alignment vertical="center"/>
    </xf>
    <xf numFmtId="0" fontId="137" fillId="33" borderId="0" applyNumberFormat="0" applyBorder="0" applyAlignment="0" applyProtection="0">
      <alignment vertical="center"/>
    </xf>
    <xf numFmtId="0" fontId="138" fillId="34" borderId="0" applyNumberFormat="0" applyBorder="0" applyAlignment="0" applyProtection="0">
      <alignment vertical="center"/>
    </xf>
    <xf numFmtId="0" fontId="138" fillId="35" borderId="0" applyNumberFormat="0" applyBorder="0" applyAlignment="0" applyProtection="0">
      <alignment vertical="center"/>
    </xf>
    <xf numFmtId="0" fontId="137" fillId="36" borderId="0" applyNumberFormat="0" applyBorder="0" applyAlignment="0" applyProtection="0">
      <alignment vertical="center"/>
    </xf>
    <xf numFmtId="0" fontId="137" fillId="37" borderId="0" applyNumberFormat="0" applyBorder="0" applyAlignment="0" applyProtection="0">
      <alignment vertical="center"/>
    </xf>
    <xf numFmtId="0" fontId="138" fillId="38" borderId="0" applyNumberFormat="0" applyBorder="0" applyAlignment="0" applyProtection="0">
      <alignment vertical="center"/>
    </xf>
    <xf numFmtId="0" fontId="138" fillId="39" borderId="0" applyNumberFormat="0" applyBorder="0" applyAlignment="0" applyProtection="0">
      <alignment vertical="center"/>
    </xf>
    <xf numFmtId="0" fontId="137" fillId="40" borderId="0" applyNumberFormat="0" applyBorder="0" applyAlignment="0" applyProtection="0">
      <alignment vertical="center"/>
    </xf>
    <xf numFmtId="0" fontId="137" fillId="41" borderId="0" applyNumberFormat="0" applyBorder="0" applyAlignment="0" applyProtection="0">
      <alignment vertical="center"/>
    </xf>
    <xf numFmtId="0" fontId="138" fillId="42" borderId="0" applyNumberFormat="0" applyBorder="0" applyAlignment="0" applyProtection="0">
      <alignment vertical="center"/>
    </xf>
    <xf numFmtId="0" fontId="138" fillId="43" borderId="0" applyNumberFormat="0" applyBorder="0" applyAlignment="0" applyProtection="0">
      <alignment vertical="center"/>
    </xf>
    <xf numFmtId="0" fontId="137" fillId="44" borderId="0" applyNumberFormat="0" applyBorder="0" applyAlignment="0" applyProtection="0">
      <alignment vertical="center"/>
    </xf>
  </cellStyleXfs>
  <cellXfs count="518">
    <xf numFmtId="0" fontId="0" fillId="0" borderId="0" xfId="0">
      <alignment vertical="center"/>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0" xfId="0" applyAlignment="1">
      <alignment vertical="center" wrapText="1"/>
    </xf>
    <xf numFmtId="0" fontId="1" fillId="0" borderId="0" xfId="0" applyFont="1">
      <alignment vertical="center"/>
    </xf>
    <xf numFmtId="0" fontId="0" fillId="2" borderId="0" xfId="0" applyFill="1">
      <alignment vertical="center"/>
    </xf>
    <xf numFmtId="0" fontId="2" fillId="2" borderId="0" xfId="0" applyFont="1" applyFill="1" applyAlignment="1" applyProtection="1">
      <alignment horizontal="right"/>
      <protection locked="0"/>
    </xf>
    <xf numFmtId="0" fontId="3" fillId="2" borderId="0" xfId="0" applyFont="1" applyFill="1" applyAlignment="1" applyProtection="1">
      <alignment horizontal="left" wrapText="1"/>
      <protection locked="0"/>
    </xf>
    <xf numFmtId="0" fontId="3" fillId="2" borderId="0" xfId="0" applyFont="1" applyFill="1" applyAlignment="1" applyProtection="1">
      <alignment horizontal="left"/>
      <protection locked="0"/>
    </xf>
    <xf numFmtId="0" fontId="4" fillId="0" borderId="0" xfId="0" applyFont="1" applyAlignment="1">
      <alignment horizontal="center" vertical="center" wrapText="1"/>
    </xf>
    <xf numFmtId="0" fontId="1" fillId="3" borderId="0" xfId="0" applyFont="1" applyFill="1">
      <alignment vertical="center"/>
    </xf>
    <xf numFmtId="0" fontId="5" fillId="3" borderId="0" xfId="0" applyFont="1" applyFill="1" applyAlignment="1">
      <alignment horizontal="center" vertical="center" wrapText="1"/>
    </xf>
    <xf numFmtId="0" fontId="5" fillId="4" borderId="9"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1" fillId="3" borderId="0" xfId="0" applyFont="1" applyFill="1" applyAlignment="1" applyProtection="1">
      <alignment horizontal="center" vertical="center"/>
      <protection locked="0"/>
    </xf>
    <xf numFmtId="0" fontId="7" fillId="3" borderId="0" xfId="0" applyFont="1" applyFill="1" applyAlignment="1" applyProtection="1">
      <alignment horizontal="center" vertical="center" wrapText="1"/>
      <protection locked="0"/>
    </xf>
    <xf numFmtId="0" fontId="7" fillId="3" borderId="0" xfId="0" applyFont="1" applyFill="1" applyAlignment="1" applyProtection="1">
      <alignment horizontal="center" vertical="center"/>
      <protection locked="0"/>
    </xf>
    <xf numFmtId="0" fontId="5" fillId="4" borderId="11" xfId="0" applyFont="1" applyFill="1" applyBorder="1" applyAlignment="1">
      <alignment horizontal="center" vertical="center" wrapText="1"/>
    </xf>
    <xf numFmtId="0" fontId="5" fillId="5" borderId="12" xfId="0" applyFont="1" applyFill="1" applyBorder="1" applyAlignment="1">
      <alignment horizontal="center" vertical="center" wrapText="1"/>
    </xf>
    <xf numFmtId="176" fontId="8" fillId="6" borderId="13" xfId="0" applyNumberFormat="1" applyFont="1" applyFill="1" applyBorder="1" applyAlignment="1" applyProtection="1">
      <alignment horizontal="center" vertical="center" wrapText="1"/>
      <protection locked="0"/>
    </xf>
    <xf numFmtId="0" fontId="5" fillId="5" borderId="14" xfId="0" applyFont="1" applyFill="1" applyBorder="1" applyAlignment="1">
      <alignment horizontal="center" vertical="center" wrapText="1"/>
    </xf>
    <xf numFmtId="0" fontId="9" fillId="6" borderId="15" xfId="0" applyFont="1" applyFill="1" applyBorder="1" applyAlignment="1" applyProtection="1">
      <alignment horizontal="left" vertical="center" wrapText="1" indent="1"/>
      <protection locked="0"/>
    </xf>
    <xf numFmtId="0" fontId="10" fillId="3" borderId="0" xfId="0" applyFont="1" applyFill="1" applyAlignment="1">
      <alignment horizontal="center" vertical="center" wrapText="1"/>
    </xf>
    <xf numFmtId="0" fontId="11" fillId="3" borderId="0" xfId="0" applyFont="1" applyFill="1" applyAlignment="1" applyProtection="1">
      <alignment horizontal="left" vertical="center" wrapText="1"/>
      <protection locked="0"/>
    </xf>
    <xf numFmtId="0" fontId="11" fillId="3" borderId="0" xfId="0" applyFont="1" applyFill="1" applyAlignment="1" applyProtection="1">
      <alignment horizontal="left" vertical="center"/>
      <protection locked="0"/>
    </xf>
    <xf numFmtId="0" fontId="5" fillId="4" borderId="16" xfId="0" applyFont="1" applyFill="1" applyBorder="1" applyAlignment="1">
      <alignment horizontal="center" vertical="center" wrapText="1"/>
    </xf>
    <xf numFmtId="0" fontId="5" fillId="5" borderId="17" xfId="0" applyFont="1" applyFill="1" applyBorder="1" applyAlignment="1">
      <alignment horizontal="center" vertical="center" wrapText="1"/>
    </xf>
    <xf numFmtId="0" fontId="9" fillId="6" borderId="18" xfId="0" applyFont="1" applyFill="1" applyBorder="1" applyAlignment="1" applyProtection="1">
      <alignment horizontal="left" vertical="center" wrapText="1" indent="1"/>
      <protection locked="0"/>
    </xf>
    <xf numFmtId="0" fontId="6" fillId="3" borderId="19" xfId="0" applyFont="1" applyFill="1" applyBorder="1" applyAlignment="1">
      <alignment horizontal="center" vertical="center" wrapText="1"/>
    </xf>
    <xf numFmtId="176" fontId="12" fillId="6" borderId="13" xfId="0" applyNumberFormat="1" applyFont="1" applyFill="1" applyBorder="1" applyAlignment="1" applyProtection="1">
      <alignment horizontal="center" vertical="center" wrapText="1"/>
      <protection locked="0"/>
    </xf>
    <xf numFmtId="0" fontId="13" fillId="6" borderId="15" xfId="0" applyFont="1" applyFill="1" applyBorder="1" applyAlignment="1" applyProtection="1">
      <alignment horizontal="left" vertical="center" wrapText="1" indent="1"/>
      <protection locked="0"/>
    </xf>
    <xf numFmtId="0" fontId="13" fillId="6" borderId="18" xfId="0" applyFont="1" applyFill="1" applyBorder="1" applyAlignment="1" applyProtection="1">
      <alignment horizontal="left" vertical="center" wrapText="1" indent="1"/>
      <protection locked="0"/>
    </xf>
    <xf numFmtId="0" fontId="1" fillId="7" borderId="0" xfId="0" applyFont="1" applyFill="1">
      <alignment vertical="center"/>
    </xf>
    <xf numFmtId="0" fontId="5" fillId="4" borderId="20" xfId="0" applyFont="1" applyFill="1" applyBorder="1" applyAlignment="1">
      <alignment horizontal="center" vertical="center" wrapText="1"/>
    </xf>
    <xf numFmtId="0" fontId="14" fillId="6" borderId="0" xfId="0" applyFont="1" applyFill="1" applyAlignment="1">
      <alignment horizontal="center" vertical="center" wrapText="1"/>
    </xf>
    <xf numFmtId="0" fontId="1" fillId="6" borderId="0" xfId="0" applyFont="1" applyFill="1" applyAlignment="1" applyProtection="1">
      <alignment horizontal="center" vertical="center"/>
      <protection locked="0"/>
    </xf>
    <xf numFmtId="0" fontId="14" fillId="6" borderId="0" xfId="0" applyFont="1" applyFill="1" applyAlignment="1">
      <alignment horizontal="center" vertical="center"/>
    </xf>
    <xf numFmtId="0" fontId="1" fillId="8" borderId="0" xfId="0" applyFont="1" applyFill="1">
      <alignment vertical="center"/>
    </xf>
    <xf numFmtId="0" fontId="6" fillId="3" borderId="21" xfId="0" applyFont="1" applyFill="1" applyBorder="1" applyAlignment="1">
      <alignment horizontal="center" vertical="center" wrapText="1"/>
    </xf>
    <xf numFmtId="0" fontId="15" fillId="3" borderId="0" xfId="0" applyFont="1" applyFill="1" applyAlignment="1">
      <alignment horizontal="center" vertical="center" wrapText="1"/>
    </xf>
    <xf numFmtId="0" fontId="15" fillId="3" borderId="0" xfId="0" applyFont="1" applyFill="1" applyAlignment="1" applyProtection="1">
      <alignment horizontal="center" vertical="center"/>
      <protection locked="0"/>
    </xf>
    <xf numFmtId="176" fontId="16" fillId="9" borderId="12" xfId="0" applyNumberFormat="1" applyFont="1" applyFill="1" applyBorder="1" applyAlignment="1" applyProtection="1">
      <alignment horizontal="center" vertical="center" shrinkToFit="1"/>
      <protection locked="0"/>
    </xf>
    <xf numFmtId="177" fontId="16" fillId="10" borderId="12" xfId="0" applyNumberFormat="1" applyFont="1" applyFill="1" applyBorder="1" applyAlignment="1" applyProtection="1">
      <alignment horizontal="center" vertical="center" shrinkToFit="1"/>
      <protection locked="0"/>
    </xf>
    <xf numFmtId="0" fontId="15" fillId="3" borderId="22" xfId="0" applyFont="1" applyFill="1" applyBorder="1" applyAlignment="1">
      <alignment horizontal="center" vertical="center" wrapText="1"/>
    </xf>
    <xf numFmtId="0" fontId="17" fillId="3" borderId="22" xfId="0" applyFont="1" applyFill="1" applyBorder="1" applyAlignment="1" applyProtection="1">
      <alignment horizontal="center" vertical="center" wrapText="1"/>
      <protection locked="0"/>
    </xf>
    <xf numFmtId="0" fontId="17" fillId="3" borderId="22" xfId="0" applyFont="1" applyFill="1" applyBorder="1" applyAlignment="1" applyProtection="1">
      <alignment horizontal="center" vertical="center"/>
      <protection locked="0"/>
    </xf>
    <xf numFmtId="0" fontId="5" fillId="4" borderId="23" xfId="0" applyFont="1" applyFill="1" applyBorder="1" applyAlignment="1">
      <alignment horizontal="center" vertical="center" wrapText="1"/>
    </xf>
    <xf numFmtId="0" fontId="5" fillId="5" borderId="24" xfId="0" applyFont="1" applyFill="1" applyBorder="1" applyAlignment="1">
      <alignment horizontal="center" vertical="center" wrapText="1"/>
    </xf>
    <xf numFmtId="0" fontId="18" fillId="10" borderId="24" xfId="0" applyFont="1" applyFill="1" applyBorder="1" applyAlignment="1" applyProtection="1">
      <alignment horizontal="left" vertical="center" wrapText="1"/>
      <protection locked="0"/>
    </xf>
    <xf numFmtId="176" fontId="8" fillId="6" borderId="25" xfId="0" applyNumberFormat="1" applyFont="1" applyFill="1" applyBorder="1" applyAlignment="1" applyProtection="1">
      <alignment horizontal="center" vertical="center" wrapText="1"/>
      <protection locked="0"/>
    </xf>
    <xf numFmtId="176" fontId="8" fillId="6" borderId="26" xfId="0" applyNumberFormat="1" applyFont="1" applyFill="1" applyBorder="1" applyAlignment="1" applyProtection="1">
      <alignment horizontal="center" vertical="center" wrapText="1"/>
      <protection locked="0"/>
    </xf>
    <xf numFmtId="0" fontId="9" fillId="6" borderId="27" xfId="0" applyFont="1" applyFill="1" applyBorder="1" applyAlignment="1" applyProtection="1">
      <alignment horizontal="left" vertical="center" wrapText="1" indent="1"/>
      <protection locked="0"/>
    </xf>
    <xf numFmtId="0" fontId="9" fillId="6" borderId="28" xfId="0" applyFont="1" applyFill="1" applyBorder="1" applyAlignment="1" applyProtection="1">
      <alignment horizontal="left" vertical="center" wrapText="1" indent="1"/>
      <protection locked="0"/>
    </xf>
    <xf numFmtId="0" fontId="9" fillId="6" borderId="29" xfId="0" applyFont="1" applyFill="1" applyBorder="1" applyAlignment="1" applyProtection="1">
      <alignment horizontal="left" vertical="center" wrapText="1" indent="1"/>
      <protection locked="0"/>
    </xf>
    <xf numFmtId="0" fontId="9" fillId="6" borderId="30" xfId="0" applyFont="1" applyFill="1" applyBorder="1" applyAlignment="1" applyProtection="1">
      <alignment horizontal="left" vertical="center" wrapText="1" indent="1"/>
      <protection locked="0"/>
    </xf>
    <xf numFmtId="176" fontId="12" fillId="6" borderId="25" xfId="0" applyNumberFormat="1" applyFont="1" applyFill="1" applyBorder="1" applyAlignment="1" applyProtection="1">
      <alignment horizontal="center" vertical="center" wrapText="1"/>
      <protection locked="0"/>
    </xf>
    <xf numFmtId="176" fontId="12" fillId="6" borderId="26" xfId="0" applyNumberFormat="1" applyFont="1" applyFill="1" applyBorder="1" applyAlignment="1" applyProtection="1">
      <alignment horizontal="center" vertical="center" wrapText="1"/>
      <protection locked="0"/>
    </xf>
    <xf numFmtId="0" fontId="13" fillId="6" borderId="27" xfId="0" applyFont="1" applyFill="1" applyBorder="1" applyAlignment="1" applyProtection="1">
      <alignment horizontal="left" vertical="center" wrapText="1" indent="1"/>
      <protection locked="0"/>
    </xf>
    <xf numFmtId="0" fontId="13" fillId="6" borderId="28" xfId="0" applyFont="1" applyFill="1" applyBorder="1" applyAlignment="1" applyProtection="1">
      <alignment horizontal="left" vertical="center" wrapText="1" indent="1"/>
      <protection locked="0"/>
    </xf>
    <xf numFmtId="0" fontId="13" fillId="6" borderId="29" xfId="0" applyFont="1" applyFill="1" applyBorder="1" applyAlignment="1" applyProtection="1">
      <alignment horizontal="left" vertical="center" wrapText="1" indent="1"/>
      <protection locked="0"/>
    </xf>
    <xf numFmtId="0" fontId="13" fillId="6" borderId="30" xfId="0" applyFont="1" applyFill="1" applyBorder="1" applyAlignment="1" applyProtection="1">
      <alignment horizontal="left" vertical="center" wrapText="1" indent="1"/>
      <protection locked="0"/>
    </xf>
    <xf numFmtId="178" fontId="16" fillId="11" borderId="12" xfId="0" applyNumberFormat="1" applyFont="1" applyFill="1" applyBorder="1" applyAlignment="1" applyProtection="1">
      <alignment horizontal="center" vertical="center" shrinkToFit="1"/>
      <protection locked="0"/>
    </xf>
    <xf numFmtId="0" fontId="4" fillId="10" borderId="12" xfId="0" applyFont="1" applyFill="1" applyBorder="1" applyAlignment="1" applyProtection="1">
      <alignment horizontal="center" vertical="center" wrapText="1"/>
      <protection locked="0"/>
    </xf>
    <xf numFmtId="179" fontId="16" fillId="10" borderId="12" xfId="0" applyNumberFormat="1" applyFont="1" applyFill="1" applyBorder="1" applyAlignment="1" applyProtection="1">
      <alignment horizontal="center" vertical="center" shrinkToFit="1"/>
      <protection locked="0"/>
    </xf>
    <xf numFmtId="176" fontId="19" fillId="6" borderId="13" xfId="0" applyNumberFormat="1" applyFont="1" applyFill="1" applyBorder="1" applyAlignment="1" applyProtection="1">
      <alignment horizontal="center" vertical="center" wrapText="1"/>
      <protection locked="0"/>
    </xf>
    <xf numFmtId="176" fontId="19" fillId="6" borderId="25" xfId="0" applyNumberFormat="1" applyFont="1" applyFill="1" applyBorder="1" applyAlignment="1" applyProtection="1">
      <alignment horizontal="center" vertical="center" wrapText="1"/>
      <protection locked="0"/>
    </xf>
    <xf numFmtId="176" fontId="19" fillId="6" borderId="26" xfId="0" applyNumberFormat="1" applyFont="1" applyFill="1" applyBorder="1" applyAlignment="1" applyProtection="1">
      <alignment horizontal="center" vertical="center" wrapText="1"/>
      <protection locked="0"/>
    </xf>
    <xf numFmtId="0" fontId="20" fillId="6" borderId="15" xfId="0" applyFont="1" applyFill="1" applyBorder="1" applyAlignment="1" applyProtection="1">
      <alignment horizontal="left" vertical="center" wrapText="1" indent="1"/>
      <protection locked="0"/>
    </xf>
    <xf numFmtId="0" fontId="20" fillId="6" borderId="27" xfId="0" applyFont="1" applyFill="1" applyBorder="1" applyAlignment="1" applyProtection="1">
      <alignment horizontal="left" vertical="center" wrapText="1" indent="1"/>
      <protection locked="0"/>
    </xf>
    <xf numFmtId="0" fontId="20" fillId="6" borderId="28" xfId="0" applyFont="1" applyFill="1" applyBorder="1" applyAlignment="1" applyProtection="1">
      <alignment horizontal="left" vertical="center" wrapText="1" indent="1"/>
      <protection locked="0"/>
    </xf>
    <xf numFmtId="0" fontId="20" fillId="6" borderId="18" xfId="0" applyFont="1" applyFill="1" applyBorder="1" applyAlignment="1" applyProtection="1">
      <alignment horizontal="left" vertical="center" wrapText="1" indent="1"/>
      <protection locked="0"/>
    </xf>
    <xf numFmtId="0" fontId="20" fillId="6" borderId="29" xfId="0" applyFont="1" applyFill="1" applyBorder="1" applyAlignment="1" applyProtection="1">
      <alignment horizontal="left" vertical="center" wrapText="1" indent="1"/>
      <protection locked="0"/>
    </xf>
    <xf numFmtId="0" fontId="20" fillId="6" borderId="30" xfId="0" applyFont="1" applyFill="1" applyBorder="1" applyAlignment="1" applyProtection="1">
      <alignment horizontal="left" vertical="center" wrapText="1" indent="1"/>
      <protection locked="0"/>
    </xf>
    <xf numFmtId="0" fontId="21" fillId="2" borderId="0" xfId="0" applyFont="1" applyFill="1" applyAlignment="1" applyProtection="1">
      <alignment horizontal="left" wrapText="1"/>
      <protection locked="0"/>
    </xf>
    <xf numFmtId="0" fontId="1" fillId="6" borderId="0" xfId="0" applyFont="1" applyFill="1" applyAlignment="1" applyProtection="1">
      <alignment horizontal="center" vertical="center"/>
    </xf>
    <xf numFmtId="0" fontId="21" fillId="2" borderId="0" xfId="0" applyFont="1" applyFill="1" applyAlignment="1" applyProtection="1">
      <alignment horizontal="left"/>
      <protection locked="0"/>
    </xf>
    <xf numFmtId="176" fontId="22" fillId="6" borderId="13" xfId="0" applyNumberFormat="1" applyFont="1" applyFill="1" applyBorder="1" applyAlignment="1" applyProtection="1">
      <alignment horizontal="center" vertical="center" wrapText="1"/>
      <protection locked="0"/>
    </xf>
    <xf numFmtId="0" fontId="23" fillId="6" borderId="15" xfId="0" applyFont="1" applyFill="1" applyBorder="1" applyAlignment="1" applyProtection="1">
      <alignment horizontal="left" vertical="center" wrapText="1" indent="1"/>
      <protection locked="0"/>
    </xf>
    <xf numFmtId="0" fontId="23" fillId="6" borderId="18" xfId="0" applyFont="1" applyFill="1" applyBorder="1" applyAlignment="1" applyProtection="1">
      <alignment horizontal="left" vertical="center" wrapText="1" indent="1"/>
      <protection locked="0"/>
    </xf>
    <xf numFmtId="176" fontId="22" fillId="6" borderId="25" xfId="0" applyNumberFormat="1" applyFont="1" applyFill="1" applyBorder="1" applyAlignment="1" applyProtection="1">
      <alignment horizontal="center" vertical="center" wrapText="1"/>
      <protection locked="0"/>
    </xf>
    <xf numFmtId="176" fontId="22" fillId="6" borderId="26" xfId="0" applyNumberFormat="1" applyFont="1" applyFill="1" applyBorder="1" applyAlignment="1" applyProtection="1">
      <alignment horizontal="center" vertical="center" wrapText="1"/>
      <protection locked="0"/>
    </xf>
    <xf numFmtId="0" fontId="23" fillId="6" borderId="27" xfId="0" applyFont="1" applyFill="1" applyBorder="1" applyAlignment="1" applyProtection="1">
      <alignment horizontal="left" vertical="center" wrapText="1" indent="1"/>
      <protection locked="0"/>
    </xf>
    <xf numFmtId="0" fontId="23" fillId="6" borderId="28" xfId="0" applyFont="1" applyFill="1" applyBorder="1" applyAlignment="1" applyProtection="1">
      <alignment horizontal="left" vertical="center" wrapText="1" indent="1"/>
      <protection locked="0"/>
    </xf>
    <xf numFmtId="0" fontId="23" fillId="6" borderId="29" xfId="0" applyFont="1" applyFill="1" applyBorder="1" applyAlignment="1" applyProtection="1">
      <alignment horizontal="left" vertical="center" wrapText="1" indent="1"/>
      <protection locked="0"/>
    </xf>
    <xf numFmtId="0" fontId="23" fillId="6" borderId="30" xfId="0" applyFont="1" applyFill="1" applyBorder="1" applyAlignment="1" applyProtection="1">
      <alignment horizontal="left" vertical="center" wrapText="1" indent="1"/>
      <protection locked="0"/>
    </xf>
    <xf numFmtId="0" fontId="2" fillId="2" borderId="0" xfId="0" applyFont="1" applyFill="1" applyBorder="1" applyAlignment="1">
      <alignment horizontal="right" wrapText="1"/>
    </xf>
    <xf numFmtId="0" fontId="24" fillId="2" borderId="0" xfId="0" applyFont="1" applyFill="1" applyAlignment="1">
      <alignment horizontal="right" wrapText="1"/>
    </xf>
    <xf numFmtId="0" fontId="25" fillId="2" borderId="0" xfId="0" applyFont="1" applyFill="1" applyBorder="1" applyAlignment="1">
      <alignment horizontal="left" wrapText="1"/>
    </xf>
    <xf numFmtId="0" fontId="26" fillId="2" borderId="0" xfId="0" applyFont="1" applyFill="1" applyAlignment="1">
      <alignment horizontal="left" wrapText="1"/>
    </xf>
    <xf numFmtId="0" fontId="5" fillId="3" borderId="0" xfId="0" applyFont="1" applyFill="1" applyBorder="1" applyAlignment="1">
      <alignment horizontal="center" vertical="center" wrapText="1"/>
    </xf>
    <xf numFmtId="0" fontId="27" fillId="10" borderId="17" xfId="0" applyFont="1" applyFill="1" applyBorder="1" applyAlignment="1" applyProtection="1">
      <alignment horizontal="left" vertical="center" wrapText="1"/>
      <protection locked="0"/>
    </xf>
    <xf numFmtId="0" fontId="13" fillId="10" borderId="17" xfId="0" applyFont="1" applyFill="1" applyBorder="1" applyAlignment="1" applyProtection="1">
      <alignment horizontal="left" vertical="center" wrapText="1"/>
      <protection locked="0"/>
    </xf>
    <xf numFmtId="0" fontId="5" fillId="5" borderId="31" xfId="0" applyFont="1" applyFill="1" applyBorder="1" applyAlignment="1">
      <alignment horizontal="center" vertical="center" wrapText="1"/>
    </xf>
    <xf numFmtId="0" fontId="28" fillId="10" borderId="31" xfId="0" applyFont="1" applyFill="1" applyBorder="1" applyAlignment="1" applyProtection="1">
      <alignment horizontal="left" vertical="center" wrapText="1"/>
      <protection locked="0"/>
    </xf>
    <xf numFmtId="0" fontId="27" fillId="10" borderId="31" xfId="0" applyFont="1" applyFill="1" applyBorder="1" applyAlignment="1" applyProtection="1">
      <alignment horizontal="left" vertical="center" wrapText="1"/>
      <protection locked="0"/>
    </xf>
    <xf numFmtId="0" fontId="29" fillId="10" borderId="31" xfId="0" applyFont="1" applyFill="1" applyBorder="1" applyAlignment="1" applyProtection="1">
      <alignment horizontal="left" vertical="center" wrapText="1"/>
      <protection locked="0"/>
    </xf>
    <xf numFmtId="0" fontId="30" fillId="10" borderId="17" xfId="0" applyFont="1" applyFill="1" applyBorder="1" applyAlignment="1" applyProtection="1">
      <alignment horizontal="left" vertical="center" wrapText="1"/>
      <protection locked="0"/>
    </xf>
    <xf numFmtId="0" fontId="31" fillId="10" borderId="17" xfId="0" applyFont="1" applyFill="1" applyBorder="1" applyAlignment="1" applyProtection="1">
      <alignment horizontal="left" vertical="center" wrapText="1"/>
      <protection locked="0"/>
    </xf>
    <xf numFmtId="0" fontId="32" fillId="10" borderId="24" xfId="0" applyFont="1" applyFill="1" applyBorder="1" applyAlignment="1" applyProtection="1">
      <alignment horizontal="left" vertical="center" wrapText="1"/>
      <protection locked="0"/>
    </xf>
    <xf numFmtId="0" fontId="4" fillId="0" borderId="0" xfId="0" applyFont="1" applyBorder="1" applyAlignment="1">
      <alignment horizontal="center" vertical="center" wrapText="1"/>
    </xf>
    <xf numFmtId="0" fontId="33" fillId="10" borderId="17" xfId="0" applyFont="1" applyFill="1" applyBorder="1" applyAlignment="1" applyProtection="1">
      <alignment horizontal="left" vertical="center" wrapText="1"/>
      <protection locked="0"/>
    </xf>
    <xf numFmtId="0" fontId="9" fillId="10" borderId="17" xfId="0" applyFont="1" applyFill="1" applyBorder="1" applyAlignment="1" applyProtection="1">
      <alignment horizontal="left" vertical="center" wrapText="1"/>
      <protection locked="0"/>
    </xf>
    <xf numFmtId="0" fontId="31" fillId="10" borderId="31" xfId="0" applyFont="1" applyFill="1" applyBorder="1" applyAlignment="1" applyProtection="1">
      <alignment horizontal="left" vertical="center" wrapText="1"/>
      <protection locked="0"/>
    </xf>
    <xf numFmtId="0" fontId="23" fillId="10" borderId="31" xfId="0" applyFont="1" applyFill="1" applyBorder="1" applyAlignment="1" applyProtection="1">
      <alignment horizontal="left" vertical="center" wrapText="1"/>
      <protection locked="0"/>
    </xf>
    <xf numFmtId="0" fontId="20" fillId="10" borderId="31" xfId="0" applyFont="1" applyFill="1" applyBorder="1" applyAlignment="1" applyProtection="1">
      <alignment horizontal="left" vertical="center" wrapText="1"/>
      <protection locked="0"/>
    </xf>
    <xf numFmtId="0" fontId="34" fillId="10" borderId="17" xfId="0" applyFont="1" applyFill="1" applyBorder="1" applyAlignment="1" applyProtection="1">
      <alignment horizontal="left" vertical="center" wrapText="1"/>
      <protection locked="0"/>
    </xf>
    <xf numFmtId="0" fontId="4" fillId="0" borderId="0" xfId="0" applyFont="1" applyBorder="1" applyAlignment="1">
      <alignment horizontal="right" vertical="center" wrapText="1"/>
    </xf>
    <xf numFmtId="0" fontId="4" fillId="0" borderId="0" xfId="0" applyFont="1" applyAlignment="1">
      <alignment horizontal="right" vertical="center" wrapText="1"/>
    </xf>
    <xf numFmtId="176" fontId="22" fillId="10" borderId="13" xfId="0" applyNumberFormat="1" applyFont="1" applyFill="1" applyBorder="1" applyAlignment="1" applyProtection="1">
      <alignment horizontal="center" vertical="center" wrapText="1"/>
      <protection locked="0"/>
    </xf>
    <xf numFmtId="176" fontId="22" fillId="10" borderId="25" xfId="0" applyNumberFormat="1" applyFont="1" applyFill="1" applyBorder="1" applyAlignment="1" applyProtection="1">
      <alignment horizontal="center" vertical="center" wrapText="1"/>
      <protection locked="0"/>
    </xf>
    <xf numFmtId="0" fontId="23" fillId="10" borderId="15" xfId="0" applyFont="1" applyFill="1" applyBorder="1" applyAlignment="1" applyProtection="1">
      <alignment horizontal="left" vertical="center" wrapText="1" indent="1"/>
      <protection locked="0"/>
    </xf>
    <xf numFmtId="0" fontId="23" fillId="10" borderId="27" xfId="0" applyFont="1" applyFill="1" applyBorder="1" applyAlignment="1" applyProtection="1">
      <alignment horizontal="left" vertical="center" wrapText="1" indent="1"/>
      <protection locked="0"/>
    </xf>
    <xf numFmtId="0" fontId="23" fillId="10" borderId="18" xfId="0" applyFont="1" applyFill="1" applyBorder="1" applyAlignment="1" applyProtection="1">
      <alignment horizontal="left" vertical="center" wrapText="1" indent="1"/>
      <protection locked="0"/>
    </xf>
    <xf numFmtId="0" fontId="23" fillId="10" borderId="29" xfId="0" applyFont="1" applyFill="1" applyBorder="1" applyAlignment="1" applyProtection="1">
      <alignment horizontal="left" vertical="center" wrapText="1" indent="1"/>
      <protection locked="0"/>
    </xf>
    <xf numFmtId="176" fontId="35" fillId="10" borderId="13" xfId="0" applyNumberFormat="1" applyFont="1" applyFill="1" applyBorder="1" applyAlignment="1" applyProtection="1">
      <alignment horizontal="center" vertical="center" wrapText="1"/>
      <protection locked="0"/>
    </xf>
    <xf numFmtId="176" fontId="35" fillId="10" borderId="25" xfId="0" applyNumberFormat="1" applyFont="1" applyFill="1" applyBorder="1" applyAlignment="1" applyProtection="1">
      <alignment horizontal="center" vertical="center" wrapText="1"/>
      <protection locked="0"/>
    </xf>
    <xf numFmtId="0" fontId="33" fillId="10" borderId="15" xfId="0" applyFont="1" applyFill="1" applyBorder="1" applyAlignment="1" applyProtection="1">
      <alignment horizontal="left" vertical="center" wrapText="1" indent="1"/>
      <protection locked="0"/>
    </xf>
    <xf numFmtId="0" fontId="32" fillId="10" borderId="31" xfId="0" applyFont="1" applyFill="1" applyBorder="1" applyAlignment="1" applyProtection="1">
      <alignment horizontal="left" vertical="center" wrapText="1"/>
      <protection locked="0"/>
    </xf>
    <xf numFmtId="0" fontId="36" fillId="10" borderId="15" xfId="0" applyFont="1" applyFill="1" applyBorder="1" applyAlignment="1" applyProtection="1">
      <alignment horizontal="left" vertical="center" wrapText="1" indent="1"/>
      <protection locked="0"/>
    </xf>
    <xf numFmtId="0" fontId="23" fillId="10" borderId="17" xfId="0" applyFont="1" applyFill="1" applyBorder="1" applyAlignment="1" applyProtection="1">
      <alignment horizontal="left" vertical="center" wrapText="1"/>
      <protection locked="0"/>
    </xf>
    <xf numFmtId="0" fontId="30" fillId="10" borderId="24" xfId="0" applyFont="1" applyFill="1" applyBorder="1" applyAlignment="1" applyProtection="1">
      <alignment horizontal="left" vertical="center" wrapText="1"/>
      <protection locked="0"/>
    </xf>
    <xf numFmtId="0" fontId="6" fillId="3" borderId="32" xfId="0" applyFont="1" applyFill="1" applyBorder="1" applyAlignment="1">
      <alignment horizontal="center" vertical="center" wrapText="1"/>
    </xf>
    <xf numFmtId="0" fontId="6" fillId="3" borderId="33" xfId="0" applyFont="1" applyFill="1" applyBorder="1" applyAlignment="1">
      <alignment horizontal="center" vertical="center" wrapText="1"/>
    </xf>
    <xf numFmtId="176" fontId="35" fillId="10" borderId="34" xfId="0" applyNumberFormat="1" applyFont="1" applyFill="1" applyBorder="1" applyAlignment="1" applyProtection="1">
      <alignment horizontal="center" vertical="center" wrapText="1"/>
      <protection locked="0"/>
    </xf>
    <xf numFmtId="0" fontId="23" fillId="10" borderId="35" xfId="0" applyFont="1" applyFill="1" applyBorder="1" applyAlignment="1" applyProtection="1">
      <alignment horizontal="left" vertical="center" wrapText="1" indent="1"/>
      <protection locked="0"/>
    </xf>
    <xf numFmtId="0" fontId="23" fillId="10" borderId="36" xfId="0" applyFont="1" applyFill="1" applyBorder="1" applyAlignment="1" applyProtection="1">
      <alignment horizontal="left" vertical="center" wrapText="1" indent="1"/>
      <protection locked="0"/>
    </xf>
    <xf numFmtId="0" fontId="6" fillId="3" borderId="37" xfId="0" applyFont="1" applyFill="1" applyBorder="1" applyAlignment="1">
      <alignment horizontal="center" vertical="center" wrapText="1"/>
    </xf>
    <xf numFmtId="0" fontId="4" fillId="10" borderId="38" xfId="0" applyFont="1" applyFill="1" applyBorder="1" applyAlignment="1" applyProtection="1">
      <alignment horizontal="center" vertical="center" wrapText="1"/>
      <protection locked="0"/>
    </xf>
    <xf numFmtId="0" fontId="30" fillId="10" borderId="39" xfId="0" applyFont="1" applyFill="1" applyBorder="1" applyAlignment="1" applyProtection="1">
      <alignment horizontal="left" vertical="center" wrapText="1"/>
      <protection locked="0"/>
    </xf>
    <xf numFmtId="0" fontId="6" fillId="3" borderId="40" xfId="0" applyFont="1" applyFill="1" applyBorder="1" applyAlignment="1">
      <alignment horizontal="center" vertical="center" wrapText="1"/>
    </xf>
    <xf numFmtId="0" fontId="5" fillId="5" borderId="41" xfId="0" applyFont="1" applyFill="1" applyBorder="1" applyAlignment="1">
      <alignment horizontal="center" vertical="center" wrapText="1"/>
    </xf>
    <xf numFmtId="0" fontId="5" fillId="5" borderId="42" xfId="0" applyFont="1" applyFill="1" applyBorder="1" applyAlignment="1">
      <alignment horizontal="center" vertical="center" wrapText="1"/>
    </xf>
    <xf numFmtId="0" fontId="37" fillId="10" borderId="17" xfId="0" applyFont="1" applyFill="1" applyBorder="1" applyAlignment="1" applyProtection="1">
      <alignment horizontal="left" vertical="center" wrapText="1"/>
      <protection locked="0"/>
    </xf>
    <xf numFmtId="0" fontId="38" fillId="10" borderId="17" xfId="0" applyFont="1" applyFill="1" applyBorder="1" applyAlignment="1" applyProtection="1">
      <alignment horizontal="left" vertical="center" wrapText="1"/>
      <protection locked="0"/>
    </xf>
    <xf numFmtId="0" fontId="6" fillId="3" borderId="43" xfId="0" applyFont="1" applyFill="1" applyBorder="1" applyAlignment="1">
      <alignment horizontal="center" vertical="center" wrapText="1"/>
    </xf>
    <xf numFmtId="0" fontId="5" fillId="5" borderId="44" xfId="0" applyFont="1" applyFill="1" applyBorder="1" applyAlignment="1">
      <alignment horizontal="center" vertical="center" wrapText="1"/>
    </xf>
    <xf numFmtId="0" fontId="39" fillId="10" borderId="31" xfId="0" applyFont="1" applyFill="1" applyBorder="1" applyAlignment="1" applyProtection="1">
      <alignment horizontal="left" vertical="center" wrapText="1"/>
      <protection locked="0"/>
    </xf>
    <xf numFmtId="0" fontId="40" fillId="10" borderId="31" xfId="0" applyFont="1" applyFill="1" applyBorder="1" applyAlignment="1" applyProtection="1">
      <alignment horizontal="left" vertical="center" wrapText="1"/>
      <protection locked="0"/>
    </xf>
    <xf numFmtId="0" fontId="41" fillId="10" borderId="31" xfId="0" applyFont="1" applyFill="1" applyBorder="1" applyAlignment="1" applyProtection="1">
      <alignment horizontal="left" vertical="center" wrapText="1"/>
      <protection locked="0"/>
    </xf>
    <xf numFmtId="0" fontId="6" fillId="3" borderId="45" xfId="0" applyFont="1" applyFill="1" applyBorder="1" applyAlignment="1">
      <alignment horizontal="center" vertical="center" wrapText="1"/>
    </xf>
    <xf numFmtId="0" fontId="42" fillId="10" borderId="17" xfId="0" applyFont="1" applyFill="1" applyBorder="1" applyAlignment="1" applyProtection="1">
      <alignment horizontal="left" vertical="center" wrapText="1"/>
      <protection locked="0"/>
    </xf>
    <xf numFmtId="0" fontId="43" fillId="10" borderId="17" xfId="0" applyFont="1" applyFill="1" applyBorder="1" applyAlignment="1" applyProtection="1">
      <alignment horizontal="left" vertical="center" wrapText="1"/>
      <protection locked="0"/>
    </xf>
    <xf numFmtId="0" fontId="44" fillId="10" borderId="17" xfId="0" applyFont="1" applyFill="1" applyBorder="1" applyAlignment="1" applyProtection="1">
      <alignment horizontal="left" vertical="center" wrapText="1"/>
      <protection locked="0"/>
    </xf>
    <xf numFmtId="0" fontId="5" fillId="5" borderId="46" xfId="0" applyFont="1" applyFill="1" applyBorder="1" applyAlignment="1">
      <alignment horizontal="center" vertical="center" wrapText="1"/>
    </xf>
    <xf numFmtId="0" fontId="45" fillId="10" borderId="24" xfId="0" applyFont="1" applyFill="1" applyBorder="1" applyAlignment="1" applyProtection="1">
      <alignment horizontal="left" vertical="center" wrapText="1"/>
      <protection locked="0"/>
    </xf>
    <xf numFmtId="0" fontId="40" fillId="10" borderId="24" xfId="0" applyFont="1" applyFill="1" applyBorder="1" applyAlignment="1" applyProtection="1">
      <alignment horizontal="left" vertical="center" wrapText="1"/>
      <protection locked="0"/>
    </xf>
    <xf numFmtId="0" fontId="44" fillId="10" borderId="24" xfId="0" applyFont="1" applyFill="1" applyBorder="1" applyAlignment="1" applyProtection="1">
      <alignment horizontal="left" vertical="center" wrapText="1"/>
      <protection locked="0"/>
    </xf>
    <xf numFmtId="0" fontId="46" fillId="0" borderId="0" xfId="0" applyFont="1" applyBorder="1" applyAlignment="1">
      <alignment horizontal="left" wrapText="1"/>
    </xf>
    <xf numFmtId="0" fontId="47" fillId="0" borderId="0" xfId="0" applyFont="1" applyAlignment="1">
      <alignment horizontal="left" wrapText="1"/>
    </xf>
    <xf numFmtId="0" fontId="28" fillId="10" borderId="17" xfId="0" applyFont="1" applyFill="1" applyBorder="1" applyAlignment="1" applyProtection="1">
      <alignment horizontal="left" vertical="center" wrapText="1"/>
      <protection locked="0"/>
    </xf>
    <xf numFmtId="0" fontId="41" fillId="10" borderId="17" xfId="0" applyFont="1" applyFill="1" applyBorder="1" applyAlignment="1" applyProtection="1">
      <alignment horizontal="left" vertical="center" wrapText="1"/>
      <protection locked="0"/>
    </xf>
    <xf numFmtId="0" fontId="28" fillId="10" borderId="24" xfId="0" applyFont="1" applyFill="1" applyBorder="1" applyAlignment="1" applyProtection="1">
      <alignment horizontal="left" vertical="center" wrapText="1"/>
      <protection locked="0"/>
    </xf>
    <xf numFmtId="0" fontId="33" fillId="10" borderId="27" xfId="0" applyFont="1" applyFill="1" applyBorder="1" applyAlignment="1" applyProtection="1">
      <alignment horizontal="left" vertical="center" wrapText="1" indent="1"/>
      <protection locked="0"/>
    </xf>
    <xf numFmtId="0" fontId="33" fillId="10" borderId="18" xfId="0" applyFont="1" applyFill="1" applyBorder="1" applyAlignment="1" applyProtection="1">
      <alignment horizontal="left" vertical="center" wrapText="1" indent="1"/>
      <protection locked="0"/>
    </xf>
    <xf numFmtId="0" fontId="33" fillId="10" borderId="29" xfId="0" applyFont="1" applyFill="1" applyBorder="1" applyAlignment="1" applyProtection="1">
      <alignment horizontal="left" vertical="center" wrapText="1" indent="1"/>
      <protection locked="0"/>
    </xf>
    <xf numFmtId="176" fontId="48" fillId="10" borderId="13" xfId="0" applyNumberFormat="1" applyFont="1" applyFill="1" applyBorder="1" applyAlignment="1" applyProtection="1">
      <alignment horizontal="center" vertical="center" wrapText="1"/>
      <protection locked="0"/>
    </xf>
    <xf numFmtId="176" fontId="48" fillId="10" borderId="25" xfId="0" applyNumberFormat="1" applyFont="1" applyFill="1" applyBorder="1" applyAlignment="1" applyProtection="1">
      <alignment horizontal="center" vertical="center" wrapText="1"/>
      <protection locked="0"/>
    </xf>
    <xf numFmtId="0" fontId="41" fillId="10" borderId="15" xfId="0" applyFont="1" applyFill="1" applyBorder="1" applyAlignment="1" applyProtection="1">
      <alignment horizontal="left" vertical="center" wrapText="1" indent="1"/>
      <protection locked="0"/>
    </xf>
    <xf numFmtId="0" fontId="41" fillId="10" borderId="27" xfId="0" applyFont="1" applyFill="1" applyBorder="1" applyAlignment="1" applyProtection="1">
      <alignment horizontal="left" vertical="center" wrapText="1" indent="1"/>
      <protection locked="0"/>
    </xf>
    <xf numFmtId="0" fontId="37" fillId="10" borderId="24" xfId="0" applyFont="1" applyFill="1" applyBorder="1" applyAlignment="1" applyProtection="1">
      <alignment horizontal="left" vertical="center" wrapText="1"/>
      <protection locked="0"/>
    </xf>
    <xf numFmtId="0" fontId="38" fillId="10" borderId="24" xfId="0" applyFont="1" applyFill="1" applyBorder="1" applyAlignment="1" applyProtection="1">
      <alignment horizontal="left" vertical="center" wrapText="1"/>
      <protection locked="0"/>
    </xf>
    <xf numFmtId="0" fontId="41" fillId="10" borderId="47" xfId="0" applyFont="1" applyFill="1" applyBorder="1" applyAlignment="1" applyProtection="1">
      <alignment horizontal="left" vertical="center" wrapText="1" indent="1"/>
      <protection locked="0"/>
    </xf>
    <xf numFmtId="0" fontId="41" fillId="10" borderId="22" xfId="0" applyFont="1" applyFill="1" applyBorder="1" applyAlignment="1" applyProtection="1">
      <alignment horizontal="left" vertical="center" wrapText="1" indent="1"/>
      <protection locked="0"/>
    </xf>
    <xf numFmtId="0" fontId="33" fillId="10" borderId="35" xfId="0" applyFont="1" applyFill="1" applyBorder="1" applyAlignment="1" applyProtection="1">
      <alignment horizontal="left" vertical="center" wrapText="1" indent="1"/>
      <protection locked="0"/>
    </xf>
    <xf numFmtId="0" fontId="33" fillId="10" borderId="36" xfId="0" applyFont="1" applyFill="1" applyBorder="1" applyAlignment="1" applyProtection="1">
      <alignment horizontal="left" vertical="center" wrapText="1" indent="1"/>
      <protection locked="0"/>
    </xf>
    <xf numFmtId="176" fontId="48" fillId="10" borderId="34" xfId="0" applyNumberFormat="1" applyFont="1" applyFill="1" applyBorder="1" applyAlignment="1" applyProtection="1">
      <alignment horizontal="center" vertical="center" wrapText="1"/>
      <protection locked="0"/>
    </xf>
    <xf numFmtId="0" fontId="41" fillId="10" borderId="35" xfId="0" applyFont="1" applyFill="1" applyBorder="1" applyAlignment="1" applyProtection="1">
      <alignment horizontal="left" vertical="center" wrapText="1" indent="1"/>
      <protection locked="0"/>
    </xf>
    <xf numFmtId="0" fontId="41" fillId="10" borderId="48" xfId="0" applyFont="1" applyFill="1" applyBorder="1" applyAlignment="1" applyProtection="1">
      <alignment horizontal="left" vertical="center" wrapText="1" indent="1"/>
      <protection locked="0"/>
    </xf>
    <xf numFmtId="0" fontId="30" fillId="10" borderId="31" xfId="0" applyFont="1" applyFill="1" applyBorder="1" applyAlignment="1" applyProtection="1">
      <alignment horizontal="left" vertical="center" wrapText="1"/>
      <protection locked="0"/>
    </xf>
    <xf numFmtId="0" fontId="49" fillId="10" borderId="17" xfId="0" applyFont="1" applyFill="1" applyBorder="1" applyAlignment="1" applyProtection="1">
      <alignment horizontal="left" vertical="center" wrapText="1"/>
      <protection locked="0"/>
    </xf>
    <xf numFmtId="0" fontId="50" fillId="10" borderId="17" xfId="0" applyFont="1" applyFill="1" applyBorder="1" applyAlignment="1" applyProtection="1">
      <alignment horizontal="left" vertical="center" wrapText="1"/>
      <protection locked="0"/>
    </xf>
    <xf numFmtId="0" fontId="51" fillId="10" borderId="24" xfId="0" applyFont="1" applyFill="1" applyBorder="1" applyAlignment="1" applyProtection="1">
      <alignment horizontal="left" vertical="center" wrapText="1"/>
      <protection locked="0"/>
    </xf>
    <xf numFmtId="0" fontId="52" fillId="10" borderId="24" xfId="0" applyFont="1" applyFill="1" applyBorder="1" applyAlignment="1" applyProtection="1">
      <alignment horizontal="left" vertical="center" wrapText="1"/>
      <protection locked="0"/>
    </xf>
    <xf numFmtId="0" fontId="53" fillId="12" borderId="49" xfId="0" applyFont="1" applyFill="1" applyBorder="1" applyAlignment="1">
      <alignment horizontal="center" vertical="top" wrapText="1"/>
    </xf>
    <xf numFmtId="0" fontId="54" fillId="12" borderId="49" xfId="0" applyFont="1" applyFill="1" applyBorder="1" applyAlignment="1">
      <alignment horizontal="center" vertical="top" wrapText="1"/>
    </xf>
    <xf numFmtId="0" fontId="55" fillId="12" borderId="49" xfId="0" applyFont="1" applyFill="1" applyBorder="1" applyAlignment="1">
      <alignment horizontal="center" wrapText="1"/>
    </xf>
    <xf numFmtId="0" fontId="55" fillId="12" borderId="50" xfId="0" applyFont="1" applyFill="1" applyBorder="1" applyAlignment="1">
      <alignment horizontal="center" vertical="center" wrapText="1"/>
    </xf>
    <xf numFmtId="0" fontId="55" fillId="12" borderId="51" xfId="0" applyFont="1" applyFill="1" applyBorder="1" applyAlignment="1">
      <alignment horizontal="center" vertical="center" wrapText="1"/>
    </xf>
    <xf numFmtId="0" fontId="55" fillId="12" borderId="52" xfId="0" applyFont="1" applyFill="1" applyBorder="1" applyAlignment="1">
      <alignment horizontal="center" vertical="center" wrapText="1"/>
    </xf>
    <xf numFmtId="0" fontId="56" fillId="12" borderId="53" xfId="0" applyFont="1" applyFill="1" applyBorder="1" applyAlignment="1">
      <alignment horizontal="center" vertical="center" wrapText="1"/>
    </xf>
    <xf numFmtId="0" fontId="56" fillId="12" borderId="54" xfId="0" applyFont="1" applyFill="1" applyBorder="1" applyAlignment="1">
      <alignment horizontal="center" vertical="center" wrapText="1"/>
    </xf>
    <xf numFmtId="0" fontId="56" fillId="12" borderId="55" xfId="0" applyFont="1" applyFill="1" applyBorder="1" applyAlignment="1">
      <alignment horizontal="center" vertical="center" wrapText="1"/>
    </xf>
    <xf numFmtId="0" fontId="55" fillId="12" borderId="56" xfId="0" applyFont="1" applyFill="1" applyBorder="1" applyAlignment="1">
      <alignment horizontal="center" wrapText="1"/>
    </xf>
    <xf numFmtId="0" fontId="56" fillId="12" borderId="57" xfId="0" applyFont="1" applyFill="1" applyBorder="1" applyAlignment="1">
      <alignment horizontal="center" vertical="center" wrapText="1"/>
    </xf>
    <xf numFmtId="0" fontId="56" fillId="12" borderId="0" xfId="0" applyFont="1" applyFill="1" applyAlignment="1">
      <alignment horizontal="center" vertical="center" wrapText="1"/>
    </xf>
    <xf numFmtId="0" fontId="56" fillId="12" borderId="58" xfId="0" applyFont="1" applyFill="1" applyBorder="1" applyAlignment="1">
      <alignment horizontal="center" vertical="center" wrapText="1"/>
    </xf>
    <xf numFmtId="0" fontId="57" fillId="12" borderId="59" xfId="0" applyFont="1" applyFill="1" applyBorder="1" applyAlignment="1">
      <alignment horizontal="center" vertical="center" wrapText="1"/>
    </xf>
    <xf numFmtId="0" fontId="58" fillId="12" borderId="1" xfId="0" applyFont="1" applyFill="1" applyBorder="1" applyAlignment="1">
      <alignment horizontal="center" vertical="center" wrapText="1"/>
    </xf>
    <xf numFmtId="0" fontId="58" fillId="12" borderId="2" xfId="0" applyFont="1" applyFill="1" applyBorder="1" applyAlignment="1">
      <alignment horizontal="center" vertical="center" wrapText="1"/>
    </xf>
    <xf numFmtId="0" fontId="58" fillId="12" borderId="6" xfId="0" applyFont="1" applyFill="1" applyBorder="1" applyAlignment="1">
      <alignment horizontal="center" vertical="center" wrapText="1"/>
    </xf>
    <xf numFmtId="0" fontId="57" fillId="12" borderId="60" xfId="0" applyFont="1" applyFill="1" applyBorder="1" applyAlignment="1">
      <alignment horizontal="center" vertical="center" wrapText="1"/>
    </xf>
    <xf numFmtId="0" fontId="58" fillId="12" borderId="3" xfId="0" applyFont="1" applyFill="1" applyBorder="1" applyAlignment="1">
      <alignment horizontal="center" vertical="center" wrapText="1"/>
    </xf>
    <xf numFmtId="0" fontId="58" fillId="12" borderId="0" xfId="0" applyFont="1" applyFill="1" applyAlignment="1">
      <alignment horizontal="center" vertical="center" wrapText="1"/>
    </xf>
    <xf numFmtId="0" fontId="58" fillId="12" borderId="7" xfId="0" applyFont="1" applyFill="1" applyBorder="1" applyAlignment="1">
      <alignment horizontal="center" vertical="center" wrapText="1"/>
    </xf>
    <xf numFmtId="0" fontId="57" fillId="12" borderId="61" xfId="0" applyFont="1" applyFill="1" applyBorder="1" applyAlignment="1">
      <alignment horizontal="center" vertical="center" wrapText="1"/>
    </xf>
    <xf numFmtId="0" fontId="58" fillId="12" borderId="4" xfId="0" applyFont="1" applyFill="1" applyBorder="1" applyAlignment="1">
      <alignment horizontal="center" vertical="center" wrapText="1"/>
    </xf>
    <xf numFmtId="0" fontId="58" fillId="12" borderId="5" xfId="0" applyFont="1" applyFill="1" applyBorder="1" applyAlignment="1">
      <alignment horizontal="center" vertical="center" wrapText="1"/>
    </xf>
    <xf numFmtId="0" fontId="58" fillId="12" borderId="8" xfId="0" applyFont="1" applyFill="1" applyBorder="1" applyAlignment="1">
      <alignment horizontal="center" vertical="center" wrapText="1"/>
    </xf>
    <xf numFmtId="0" fontId="33" fillId="10" borderId="31" xfId="0" applyFont="1" applyFill="1" applyBorder="1" applyAlignment="1" applyProtection="1">
      <alignment horizontal="left" vertical="center" wrapText="1"/>
      <protection locked="0"/>
    </xf>
    <xf numFmtId="0" fontId="59" fillId="10" borderId="31" xfId="0" applyFont="1" applyFill="1" applyBorder="1" applyAlignment="1" applyProtection="1">
      <alignment horizontal="left" vertical="center" wrapText="1"/>
      <protection locked="0"/>
    </xf>
    <xf numFmtId="0" fontId="60" fillId="10" borderId="17" xfId="0" applyFont="1" applyFill="1" applyBorder="1" applyAlignment="1" applyProtection="1">
      <alignment horizontal="left" vertical="center" wrapText="1"/>
      <protection locked="0"/>
    </xf>
    <xf numFmtId="0" fontId="61" fillId="10" borderId="17" xfId="0" applyFont="1" applyFill="1" applyBorder="1" applyAlignment="1" applyProtection="1">
      <alignment horizontal="left" vertical="center" wrapText="1"/>
      <protection locked="0"/>
    </xf>
    <xf numFmtId="0" fontId="60" fillId="10" borderId="24" xfId="0" applyFont="1" applyFill="1" applyBorder="1" applyAlignment="1" applyProtection="1">
      <alignment horizontal="left" vertical="center" wrapText="1"/>
      <protection locked="0"/>
    </xf>
    <xf numFmtId="0" fontId="32" fillId="10" borderId="15" xfId="0" applyFont="1" applyFill="1" applyBorder="1" applyAlignment="1" applyProtection="1">
      <alignment horizontal="left" vertical="center" wrapText="1" indent="1"/>
      <protection locked="0"/>
    </xf>
    <xf numFmtId="0" fontId="30" fillId="10" borderId="27" xfId="0" applyFont="1" applyFill="1" applyBorder="1" applyAlignment="1" applyProtection="1">
      <alignment horizontal="left" vertical="center" wrapText="1" indent="1"/>
      <protection locked="0"/>
    </xf>
    <xf numFmtId="0" fontId="30" fillId="10" borderId="18" xfId="0" applyFont="1" applyFill="1" applyBorder="1" applyAlignment="1" applyProtection="1">
      <alignment horizontal="left" vertical="center" wrapText="1" indent="1"/>
      <protection locked="0"/>
    </xf>
    <xf numFmtId="0" fontId="30" fillId="10" borderId="29" xfId="0" applyFont="1" applyFill="1" applyBorder="1" applyAlignment="1" applyProtection="1">
      <alignment horizontal="left" vertical="center" wrapText="1" indent="1"/>
      <protection locked="0"/>
    </xf>
    <xf numFmtId="176" fontId="62" fillId="10" borderId="13" xfId="0" applyNumberFormat="1" applyFont="1" applyFill="1" applyBorder="1" applyAlignment="1" applyProtection="1">
      <alignment horizontal="center" vertical="center" wrapText="1"/>
      <protection locked="0"/>
    </xf>
    <xf numFmtId="176" fontId="62" fillId="10" borderId="25" xfId="0" applyNumberFormat="1" applyFont="1" applyFill="1" applyBorder="1" applyAlignment="1" applyProtection="1">
      <alignment horizontal="center" vertical="center" wrapText="1"/>
      <protection locked="0"/>
    </xf>
    <xf numFmtId="176" fontId="63" fillId="10" borderId="13" xfId="0" applyNumberFormat="1" applyFont="1" applyFill="1" applyBorder="1" applyAlignment="1" applyProtection="1">
      <alignment horizontal="center" vertical="center" wrapText="1"/>
      <protection locked="0"/>
    </xf>
    <xf numFmtId="176" fontId="63" fillId="10" borderId="25" xfId="0" applyNumberFormat="1" applyFont="1" applyFill="1" applyBorder="1" applyAlignment="1" applyProtection="1">
      <alignment horizontal="center" vertical="center" wrapText="1"/>
      <protection locked="0"/>
    </xf>
    <xf numFmtId="0" fontId="64" fillId="10" borderId="15" xfId="0" applyFont="1" applyFill="1" applyBorder="1" applyAlignment="1" applyProtection="1">
      <alignment horizontal="left" vertical="center" wrapText="1" indent="1"/>
      <protection locked="0"/>
    </xf>
    <xf numFmtId="0" fontId="65" fillId="10" borderId="27" xfId="0" applyFont="1" applyFill="1" applyBorder="1" applyAlignment="1" applyProtection="1">
      <alignment horizontal="left" vertical="center" wrapText="1" indent="1"/>
      <protection locked="0"/>
    </xf>
    <xf numFmtId="0" fontId="52" fillId="10" borderId="17" xfId="0" applyFont="1" applyFill="1" applyBorder="1" applyAlignment="1" applyProtection="1">
      <alignment horizontal="left" vertical="center" wrapText="1"/>
      <protection locked="0"/>
    </xf>
    <xf numFmtId="0" fontId="66" fillId="10" borderId="17" xfId="0" applyFont="1" applyFill="1" applyBorder="1" applyAlignment="1" applyProtection="1">
      <alignment horizontal="left" vertical="center" wrapText="1"/>
      <protection locked="0"/>
    </xf>
    <xf numFmtId="0" fontId="65" fillId="10" borderId="18" xfId="0" applyFont="1" applyFill="1" applyBorder="1" applyAlignment="1" applyProtection="1">
      <alignment horizontal="left" vertical="center" wrapText="1" indent="1"/>
      <protection locked="0"/>
    </xf>
    <xf numFmtId="0" fontId="65" fillId="10" borderId="29" xfId="0" applyFont="1" applyFill="1" applyBorder="1" applyAlignment="1" applyProtection="1">
      <alignment horizontal="left" vertical="center" wrapText="1" indent="1"/>
      <protection locked="0"/>
    </xf>
    <xf numFmtId="176" fontId="16" fillId="9" borderId="12" xfId="0" applyNumberFormat="1" applyFont="1" applyFill="1" applyBorder="1" applyAlignment="1" applyProtection="1">
      <alignment horizontal="center" vertical="center" wrapText="1" shrinkToFit="1"/>
      <protection locked="0"/>
    </xf>
    <xf numFmtId="0" fontId="32" fillId="10" borderId="17" xfId="0" applyFont="1" applyFill="1" applyBorder="1" applyAlignment="1" applyProtection="1">
      <alignment horizontal="left" vertical="center" wrapText="1"/>
      <protection locked="0"/>
    </xf>
    <xf numFmtId="176" fontId="62" fillId="10" borderId="34" xfId="0" applyNumberFormat="1" applyFont="1" applyFill="1" applyBorder="1" applyAlignment="1" applyProtection="1">
      <alignment horizontal="center" vertical="center" wrapText="1"/>
      <protection locked="0"/>
    </xf>
    <xf numFmtId="0" fontId="30" fillId="10" borderId="35" xfId="0" applyFont="1" applyFill="1" applyBorder="1" applyAlignment="1" applyProtection="1">
      <alignment horizontal="left" vertical="center" wrapText="1" indent="1"/>
      <protection locked="0"/>
    </xf>
    <xf numFmtId="0" fontId="30" fillId="10" borderId="36" xfId="0" applyFont="1" applyFill="1" applyBorder="1" applyAlignment="1" applyProtection="1">
      <alignment horizontal="left" vertical="center" wrapText="1" indent="1"/>
      <protection locked="0"/>
    </xf>
    <xf numFmtId="176" fontId="63" fillId="10" borderId="34" xfId="0" applyNumberFormat="1" applyFont="1" applyFill="1" applyBorder="1" applyAlignment="1" applyProtection="1">
      <alignment horizontal="center" vertical="center" wrapText="1"/>
      <protection locked="0"/>
    </xf>
    <xf numFmtId="0" fontId="65" fillId="10" borderId="35" xfId="0" applyFont="1" applyFill="1" applyBorder="1" applyAlignment="1" applyProtection="1">
      <alignment horizontal="left" vertical="center" wrapText="1" indent="1"/>
      <protection locked="0"/>
    </xf>
    <xf numFmtId="0" fontId="65" fillId="10" borderId="36" xfId="0" applyFont="1" applyFill="1" applyBorder="1" applyAlignment="1" applyProtection="1">
      <alignment horizontal="left" vertical="center" wrapText="1" indent="1"/>
      <protection locked="0"/>
    </xf>
    <xf numFmtId="0" fontId="45" fillId="10" borderId="39" xfId="0" applyFont="1" applyFill="1" applyBorder="1" applyAlignment="1" applyProtection="1">
      <alignment horizontal="left" vertical="center" wrapText="1"/>
      <protection locked="0"/>
    </xf>
    <xf numFmtId="0" fontId="65" fillId="10" borderId="31" xfId="0" applyFont="1" applyFill="1" applyBorder="1" applyAlignment="1" applyProtection="1">
      <alignment horizontal="left" vertical="center" wrapText="1"/>
      <protection locked="0"/>
    </xf>
    <xf numFmtId="0" fontId="49" fillId="10" borderId="24" xfId="0" applyFont="1" applyFill="1" applyBorder="1" applyAlignment="1" applyProtection="1">
      <alignment horizontal="left" vertical="center" wrapText="1"/>
      <protection locked="0"/>
    </xf>
    <xf numFmtId="0" fontId="37" fillId="10" borderId="31" xfId="0" applyFont="1" applyFill="1" applyBorder="1" applyAlignment="1" applyProtection="1">
      <alignment horizontal="left" vertical="center" wrapText="1"/>
      <protection locked="0"/>
    </xf>
    <xf numFmtId="0" fontId="67" fillId="10" borderId="17" xfId="0" applyFont="1" applyFill="1" applyBorder="1" applyAlignment="1" applyProtection="1">
      <alignment horizontal="left" vertical="center" wrapText="1"/>
      <protection locked="0"/>
    </xf>
    <xf numFmtId="0" fontId="68" fillId="10" borderId="24" xfId="0" applyFont="1" applyFill="1" applyBorder="1" applyAlignment="1" applyProtection="1">
      <alignment horizontal="left" vertical="center" wrapText="1"/>
      <protection locked="0"/>
    </xf>
    <xf numFmtId="0" fontId="42" fillId="10" borderId="24" xfId="0" applyFont="1" applyFill="1" applyBorder="1" applyAlignment="1" applyProtection="1">
      <alignment horizontal="left" vertical="center" wrapText="1"/>
      <protection locked="0"/>
    </xf>
    <xf numFmtId="0" fontId="69" fillId="10" borderId="24" xfId="0" applyFont="1" applyFill="1" applyBorder="1" applyAlignment="1" applyProtection="1">
      <alignment horizontal="left" vertical="center" wrapText="1"/>
      <protection locked="0"/>
    </xf>
    <xf numFmtId="0" fontId="9" fillId="10" borderId="27" xfId="0" applyFont="1" applyFill="1" applyBorder="1" applyAlignment="1" applyProtection="1">
      <alignment horizontal="left" vertical="center" wrapText="1" indent="1"/>
      <protection locked="0"/>
    </xf>
    <xf numFmtId="0" fontId="70" fillId="10" borderId="17" xfId="0" applyFont="1" applyFill="1" applyBorder="1" applyAlignment="1" applyProtection="1">
      <alignment horizontal="left" vertical="center" wrapText="1"/>
      <protection locked="0"/>
    </xf>
    <xf numFmtId="0" fontId="9" fillId="10" borderId="18" xfId="0" applyFont="1" applyFill="1" applyBorder="1" applyAlignment="1" applyProtection="1">
      <alignment horizontal="left" vertical="center" wrapText="1" indent="1"/>
      <protection locked="0"/>
    </xf>
    <xf numFmtId="0" fontId="9" fillId="10" borderId="29" xfId="0" applyFont="1" applyFill="1" applyBorder="1" applyAlignment="1" applyProtection="1">
      <alignment horizontal="left" vertical="center" wrapText="1" indent="1"/>
      <protection locked="0"/>
    </xf>
    <xf numFmtId="0" fontId="71" fillId="10" borderId="17" xfId="0" applyFont="1" applyFill="1" applyBorder="1" applyAlignment="1" applyProtection="1">
      <alignment horizontal="left" vertical="center" wrapText="1"/>
      <protection locked="0"/>
    </xf>
    <xf numFmtId="0" fontId="27" fillId="10" borderId="24" xfId="0" applyFont="1" applyFill="1" applyBorder="1" applyAlignment="1" applyProtection="1">
      <alignment horizontal="left" vertical="center" wrapText="1"/>
      <protection locked="0"/>
    </xf>
    <xf numFmtId="176" fontId="22" fillId="10" borderId="34" xfId="0" applyNumberFormat="1" applyFont="1" applyFill="1" applyBorder="1" applyAlignment="1" applyProtection="1">
      <alignment horizontal="center" vertical="center" wrapText="1"/>
      <protection locked="0"/>
    </xf>
    <xf numFmtId="0" fontId="18" fillId="10" borderId="31" xfId="0" applyFont="1" applyFill="1" applyBorder="1" applyAlignment="1" applyProtection="1">
      <alignment horizontal="left" vertical="center" wrapText="1"/>
      <protection locked="0"/>
    </xf>
    <xf numFmtId="0" fontId="72" fillId="10" borderId="17" xfId="0" applyFont="1" applyFill="1" applyBorder="1" applyAlignment="1" applyProtection="1">
      <alignment horizontal="left" vertical="center" wrapText="1"/>
      <protection locked="0"/>
    </xf>
    <xf numFmtId="0" fontId="73" fillId="10" borderId="24" xfId="0" applyFont="1" applyFill="1" applyBorder="1" applyAlignment="1" applyProtection="1">
      <alignment horizontal="left" vertical="center" wrapText="1"/>
      <protection locked="0"/>
    </xf>
    <xf numFmtId="0" fontId="74" fillId="10" borderId="15" xfId="0" applyFont="1" applyFill="1" applyBorder="1" applyAlignment="1" applyProtection="1">
      <alignment horizontal="left" vertical="center" wrapText="1" indent="1"/>
      <protection locked="0"/>
    </xf>
    <xf numFmtId="0" fontId="75" fillId="10" borderId="31" xfId="0" applyFont="1" applyFill="1" applyBorder="1" applyAlignment="1" applyProtection="1">
      <alignment horizontal="left" vertical="center" wrapText="1"/>
      <protection locked="0"/>
    </xf>
    <xf numFmtId="0" fontId="64" fillId="10" borderId="31" xfId="0" applyFont="1" applyFill="1" applyBorder="1" applyAlignment="1" applyProtection="1">
      <alignment horizontal="left" vertical="center" wrapText="1"/>
      <protection locked="0"/>
    </xf>
    <xf numFmtId="0" fontId="45" fillId="10" borderId="17" xfId="0" applyFont="1" applyFill="1" applyBorder="1" applyAlignment="1" applyProtection="1">
      <alignment horizontal="left" vertical="center" wrapText="1"/>
      <protection locked="0"/>
    </xf>
    <xf numFmtId="0" fontId="76" fillId="10" borderId="17" xfId="0" applyFont="1" applyFill="1" applyBorder="1" applyAlignment="1" applyProtection="1">
      <alignment horizontal="left" vertical="center" wrapText="1"/>
      <protection locked="0"/>
    </xf>
    <xf numFmtId="0" fontId="55" fillId="12" borderId="50" xfId="0" applyFont="1" applyFill="1" applyBorder="1" applyAlignment="1">
      <alignment vertical="center" wrapText="1"/>
    </xf>
    <xf numFmtId="0" fontId="55" fillId="12" borderId="62" xfId="0" applyFont="1" applyFill="1" applyBorder="1" applyAlignment="1">
      <alignment vertical="center" wrapText="1"/>
    </xf>
    <xf numFmtId="0" fontId="55" fillId="12" borderId="63" xfId="0" applyFont="1" applyFill="1" applyBorder="1" applyAlignment="1">
      <alignment horizontal="center" vertical="center" wrapText="1"/>
    </xf>
    <xf numFmtId="0" fontId="55" fillId="12" borderId="64" xfId="0" applyFont="1" applyFill="1" applyBorder="1" applyAlignment="1">
      <alignment horizontal="center" vertical="center" wrapText="1"/>
    </xf>
    <xf numFmtId="0" fontId="56" fillId="12" borderId="65" xfId="0" applyFont="1" applyFill="1" applyBorder="1" applyAlignment="1">
      <alignment vertical="center" wrapText="1"/>
    </xf>
    <xf numFmtId="0" fontId="56" fillId="12" borderId="66" xfId="0" applyFont="1" applyFill="1" applyBorder="1" applyAlignment="1">
      <alignment vertical="center" wrapText="1"/>
    </xf>
    <xf numFmtId="0" fontId="55" fillId="12" borderId="67" xfId="0" applyFont="1" applyFill="1" applyBorder="1" applyAlignment="1">
      <alignment horizontal="center" vertical="center" wrapText="1"/>
    </xf>
    <xf numFmtId="0" fontId="55" fillId="12" borderId="58" xfId="0" applyFont="1" applyFill="1" applyBorder="1" applyAlignment="1">
      <alignment horizontal="center" vertical="center" wrapText="1"/>
    </xf>
    <xf numFmtId="0" fontId="55" fillId="12" borderId="68" xfId="0" applyFont="1" applyFill="1" applyBorder="1" applyAlignment="1">
      <alignment horizontal="center" vertical="center" wrapText="1"/>
    </xf>
    <xf numFmtId="0" fontId="55" fillId="12" borderId="55" xfId="0" applyFont="1" applyFill="1" applyBorder="1" applyAlignment="1">
      <alignment horizontal="center" vertical="center" wrapText="1"/>
    </xf>
    <xf numFmtId="0" fontId="53" fillId="12" borderId="56" xfId="0" applyFont="1" applyFill="1" applyBorder="1" applyAlignment="1">
      <alignment horizontal="center" vertical="center" wrapText="1"/>
    </xf>
    <xf numFmtId="0" fontId="56" fillId="12" borderId="69" xfId="0" applyFont="1" applyFill="1" applyBorder="1" applyAlignment="1">
      <alignment horizontal="left" vertical="center" wrapText="1"/>
    </xf>
    <xf numFmtId="0" fontId="56" fillId="12" borderId="70" xfId="0" applyFont="1" applyFill="1" applyBorder="1" applyAlignment="1">
      <alignment horizontal="left" vertical="center" wrapText="1"/>
    </xf>
    <xf numFmtId="0" fontId="56" fillId="12" borderId="64" xfId="0" applyFont="1" applyFill="1" applyBorder="1" applyAlignment="1">
      <alignment horizontal="left" vertical="center" wrapText="1"/>
    </xf>
    <xf numFmtId="0" fontId="53" fillId="12" borderId="71" xfId="0" applyFont="1" applyFill="1" applyBorder="1" applyAlignment="1">
      <alignment horizontal="center" vertical="center" wrapText="1"/>
    </xf>
    <xf numFmtId="0" fontId="56" fillId="12" borderId="72" xfId="0" applyFont="1" applyFill="1" applyBorder="1" applyAlignment="1">
      <alignment horizontal="left" vertical="center" wrapText="1"/>
    </xf>
    <xf numFmtId="0" fontId="56" fillId="12" borderId="22" xfId="0" applyFont="1" applyFill="1" applyBorder="1" applyAlignment="1">
      <alignment horizontal="left" vertical="center" wrapText="1"/>
    </xf>
    <xf numFmtId="0" fontId="56" fillId="12" borderId="48" xfId="0" applyFont="1" applyFill="1" applyBorder="1" applyAlignment="1">
      <alignment horizontal="left" vertical="center" wrapText="1"/>
    </xf>
    <xf numFmtId="0" fontId="43" fillId="10" borderId="31" xfId="0" applyFont="1" applyFill="1" applyBorder="1" applyAlignment="1" applyProtection="1">
      <alignment horizontal="left" vertical="center" wrapText="1"/>
      <protection locked="0"/>
    </xf>
    <xf numFmtId="176" fontId="12" fillId="10" borderId="13" xfId="0" applyNumberFormat="1" applyFont="1" applyFill="1" applyBorder="1" applyAlignment="1" applyProtection="1">
      <alignment horizontal="center" vertical="center" wrapText="1"/>
      <protection locked="0"/>
    </xf>
    <xf numFmtId="176" fontId="12" fillId="10" borderId="25" xfId="0" applyNumberFormat="1" applyFont="1" applyFill="1" applyBorder="1" applyAlignment="1" applyProtection="1">
      <alignment horizontal="center" vertical="center" wrapText="1"/>
      <protection locked="0"/>
    </xf>
    <xf numFmtId="0" fontId="13" fillId="10" borderId="15" xfId="0" applyFont="1" applyFill="1" applyBorder="1" applyAlignment="1" applyProtection="1">
      <alignment horizontal="left" vertical="center" wrapText="1" indent="1"/>
      <protection locked="0"/>
    </xf>
    <xf numFmtId="0" fontId="13" fillId="10" borderId="27" xfId="0" applyFont="1" applyFill="1" applyBorder="1" applyAlignment="1" applyProtection="1">
      <alignment horizontal="left" vertical="center" wrapText="1" indent="1"/>
      <protection locked="0"/>
    </xf>
    <xf numFmtId="0" fontId="51" fillId="10" borderId="31" xfId="0" applyFont="1" applyFill="1" applyBorder="1" applyAlignment="1" applyProtection="1">
      <alignment horizontal="left" vertical="center" wrapText="1"/>
      <protection locked="0"/>
    </xf>
    <xf numFmtId="0" fontId="61" fillId="10" borderId="31" xfId="0" applyFont="1" applyFill="1" applyBorder="1" applyAlignment="1" applyProtection="1">
      <alignment horizontal="left" vertical="center" wrapText="1"/>
      <protection locked="0"/>
    </xf>
    <xf numFmtId="0" fontId="13" fillId="10" borderId="18" xfId="0" applyFont="1" applyFill="1" applyBorder="1" applyAlignment="1" applyProtection="1">
      <alignment horizontal="left" vertical="center" wrapText="1" indent="1"/>
      <protection locked="0"/>
    </xf>
    <xf numFmtId="0" fontId="13" fillId="10" borderId="29" xfId="0" applyFont="1" applyFill="1" applyBorder="1" applyAlignment="1" applyProtection="1">
      <alignment horizontal="left" vertical="center" wrapText="1" indent="1"/>
      <protection locked="0"/>
    </xf>
    <xf numFmtId="0" fontId="37" fillId="10" borderId="15" xfId="0" applyFont="1" applyFill="1" applyBorder="1" applyAlignment="1" applyProtection="1">
      <alignment horizontal="left" vertical="center" wrapText="1" indent="1"/>
      <protection locked="0"/>
    </xf>
    <xf numFmtId="0" fontId="9" fillId="10" borderId="31" xfId="0" applyFont="1" applyFill="1" applyBorder="1" applyAlignment="1" applyProtection="1">
      <alignment horizontal="left" vertical="center" wrapText="1"/>
      <protection locked="0"/>
    </xf>
    <xf numFmtId="0" fontId="41" fillId="10" borderId="18" xfId="0" applyFont="1" applyFill="1" applyBorder="1" applyAlignment="1" applyProtection="1">
      <alignment horizontal="left" vertical="center" wrapText="1" indent="1"/>
      <protection locked="0"/>
    </xf>
    <xf numFmtId="0" fontId="41" fillId="10" borderId="29" xfId="0" applyFont="1" applyFill="1" applyBorder="1" applyAlignment="1" applyProtection="1">
      <alignment horizontal="left" vertical="center" wrapText="1" indent="1"/>
      <protection locked="0"/>
    </xf>
    <xf numFmtId="0" fontId="41" fillId="10" borderId="36" xfId="0" applyFont="1" applyFill="1" applyBorder="1" applyAlignment="1" applyProtection="1">
      <alignment horizontal="left" vertical="center" wrapText="1" indent="1"/>
      <protection locked="0"/>
    </xf>
    <xf numFmtId="0" fontId="72" fillId="10" borderId="31" xfId="0" applyFont="1" applyFill="1" applyBorder="1" applyAlignment="1" applyProtection="1">
      <alignment horizontal="left" vertical="center" wrapText="1"/>
      <protection locked="0"/>
    </xf>
    <xf numFmtId="0" fontId="77" fillId="10" borderId="31" xfId="0" applyFont="1" applyFill="1" applyBorder="1" applyAlignment="1" applyProtection="1">
      <alignment horizontal="left" vertical="center" wrapText="1"/>
      <protection locked="0"/>
    </xf>
    <xf numFmtId="0" fontId="20" fillId="10" borderId="17" xfId="0" applyFont="1" applyFill="1" applyBorder="1" applyAlignment="1" applyProtection="1">
      <alignment horizontal="left" vertical="center" wrapText="1"/>
      <protection locked="0"/>
    </xf>
    <xf numFmtId="0" fontId="77" fillId="10" borderId="17" xfId="0" applyFont="1" applyFill="1" applyBorder="1" applyAlignment="1" applyProtection="1">
      <alignment horizontal="left" vertical="center" wrapText="1"/>
      <protection locked="0"/>
    </xf>
    <xf numFmtId="0" fontId="78" fillId="10" borderId="24" xfId="0" applyFont="1" applyFill="1" applyBorder="1" applyAlignment="1" applyProtection="1">
      <alignment horizontal="left" vertical="center" wrapText="1"/>
      <protection locked="0"/>
    </xf>
    <xf numFmtId="0" fontId="79" fillId="10" borderId="24" xfId="0" applyFont="1" applyFill="1" applyBorder="1" applyAlignment="1" applyProtection="1">
      <alignment horizontal="left" vertical="center" wrapText="1"/>
      <protection locked="0"/>
    </xf>
    <xf numFmtId="0" fontId="80" fillId="0" borderId="0" xfId="0" applyFont="1" applyBorder="1" applyAlignment="1">
      <alignment horizontal="left" vertical="center" wrapText="1"/>
    </xf>
    <xf numFmtId="0" fontId="80" fillId="0" borderId="0" xfId="0" applyFont="1" applyAlignment="1">
      <alignment horizontal="left" vertical="center" wrapText="1"/>
    </xf>
    <xf numFmtId="0" fontId="81" fillId="10" borderId="24" xfId="0" applyFont="1" applyFill="1" applyBorder="1" applyAlignment="1" applyProtection="1">
      <alignment horizontal="left" vertical="center" wrapText="1"/>
      <protection locked="0"/>
    </xf>
    <xf numFmtId="0" fontId="82" fillId="10" borderId="24" xfId="0" applyFont="1" applyFill="1" applyBorder="1" applyAlignment="1" applyProtection="1">
      <alignment horizontal="left" vertical="center" wrapText="1"/>
      <protection locked="0"/>
    </xf>
    <xf numFmtId="0" fontId="33" fillId="10" borderId="15" xfId="0" applyFont="1" applyFill="1" applyBorder="1" applyAlignment="1" applyProtection="1">
      <alignment vertical="center" wrapText="1"/>
      <protection locked="0"/>
    </xf>
    <xf numFmtId="0" fontId="33" fillId="10" borderId="27" xfId="0" applyFont="1" applyFill="1" applyBorder="1" applyAlignment="1" applyProtection="1">
      <alignment vertical="center" wrapText="1"/>
      <protection locked="0"/>
    </xf>
    <xf numFmtId="0" fontId="33" fillId="10" borderId="18" xfId="0" applyFont="1" applyFill="1" applyBorder="1" applyAlignment="1" applyProtection="1">
      <alignment vertical="center" wrapText="1"/>
      <protection locked="0"/>
    </xf>
    <xf numFmtId="0" fontId="33" fillId="10" borderId="29" xfId="0" applyFont="1" applyFill="1" applyBorder="1" applyAlignment="1" applyProtection="1">
      <alignment vertical="center" wrapText="1"/>
      <protection locked="0"/>
    </xf>
    <xf numFmtId="0" fontId="41" fillId="10" borderId="15" xfId="0" applyFont="1" applyFill="1" applyBorder="1" applyAlignment="1" applyProtection="1">
      <alignment horizontal="left" vertical="center" wrapText="1"/>
      <protection locked="0"/>
    </xf>
    <xf numFmtId="0" fontId="23" fillId="10" borderId="27" xfId="0" applyFont="1" applyFill="1" applyBorder="1" applyAlignment="1" applyProtection="1">
      <alignment horizontal="left" vertical="center" wrapText="1"/>
      <protection locked="0"/>
    </xf>
    <xf numFmtId="0" fontId="23" fillId="10" borderId="18" xfId="0" applyFont="1" applyFill="1" applyBorder="1" applyAlignment="1" applyProtection="1">
      <alignment horizontal="left" vertical="center" wrapText="1"/>
      <protection locked="0"/>
    </xf>
    <xf numFmtId="0" fontId="23" fillId="10" borderId="29" xfId="0" applyFont="1" applyFill="1" applyBorder="1" applyAlignment="1" applyProtection="1">
      <alignment horizontal="left" vertical="center" wrapText="1"/>
      <protection locked="0"/>
    </xf>
    <xf numFmtId="0" fontId="33" fillId="10" borderId="15" xfId="0" applyFont="1" applyFill="1" applyBorder="1" applyAlignment="1" applyProtection="1">
      <alignment horizontal="left" vertical="center" wrapText="1"/>
      <protection locked="0"/>
    </xf>
    <xf numFmtId="0" fontId="33" fillId="10" borderId="27" xfId="0" applyFont="1" applyFill="1" applyBorder="1" applyAlignment="1" applyProtection="1">
      <alignment horizontal="left" vertical="center" wrapText="1"/>
      <protection locked="0"/>
    </xf>
    <xf numFmtId="0" fontId="33" fillId="10" borderId="18" xfId="0" applyFont="1" applyFill="1" applyBorder="1" applyAlignment="1" applyProtection="1">
      <alignment horizontal="left" vertical="center" wrapText="1"/>
      <protection locked="0"/>
    </xf>
    <xf numFmtId="0" fontId="33" fillId="10" borderId="29" xfId="0" applyFont="1" applyFill="1" applyBorder="1" applyAlignment="1" applyProtection="1">
      <alignment horizontal="left" vertical="center" wrapText="1"/>
      <protection locked="0"/>
    </xf>
    <xf numFmtId="0" fontId="83" fillId="10" borderId="15" xfId="0" applyFont="1" applyFill="1" applyBorder="1" applyAlignment="1" applyProtection="1">
      <alignment horizontal="left" vertical="center" wrapText="1"/>
      <protection locked="0"/>
    </xf>
    <xf numFmtId="0" fontId="69" fillId="10" borderId="27" xfId="0" applyFont="1" applyFill="1" applyBorder="1" applyAlignment="1" applyProtection="1">
      <alignment horizontal="left" vertical="center" wrapText="1"/>
      <protection locked="0"/>
    </xf>
    <xf numFmtId="0" fontId="84" fillId="10" borderId="24" xfId="0" applyFont="1" applyFill="1" applyBorder="1" applyAlignment="1" applyProtection="1">
      <alignment horizontal="left" vertical="center" wrapText="1"/>
      <protection locked="0"/>
    </xf>
    <xf numFmtId="0" fontId="69" fillId="10" borderId="18" xfId="0" applyFont="1" applyFill="1" applyBorder="1" applyAlignment="1" applyProtection="1">
      <alignment horizontal="left" vertical="center" wrapText="1"/>
      <protection locked="0"/>
    </xf>
    <xf numFmtId="0" fontId="69" fillId="10" borderId="29" xfId="0" applyFont="1" applyFill="1" applyBorder="1" applyAlignment="1" applyProtection="1">
      <alignment horizontal="left" vertical="center" wrapText="1"/>
      <protection locked="0"/>
    </xf>
    <xf numFmtId="0" fontId="23" fillId="10" borderId="35" xfId="0" applyFont="1" applyFill="1" applyBorder="1" applyAlignment="1" applyProtection="1">
      <alignment horizontal="left" vertical="center" wrapText="1"/>
      <protection locked="0"/>
    </xf>
    <xf numFmtId="0" fontId="23" fillId="10" borderId="36" xfId="0" applyFont="1" applyFill="1" applyBorder="1" applyAlignment="1" applyProtection="1">
      <alignment horizontal="left" vertical="center" wrapText="1"/>
      <protection locked="0"/>
    </xf>
    <xf numFmtId="0" fontId="33" fillId="10" borderId="35" xfId="0" applyFont="1" applyFill="1" applyBorder="1" applyAlignment="1" applyProtection="1">
      <alignment horizontal="left" vertical="center" wrapText="1"/>
      <protection locked="0"/>
    </xf>
    <xf numFmtId="0" fontId="33" fillId="10" borderId="36" xfId="0" applyFont="1" applyFill="1" applyBorder="1" applyAlignment="1" applyProtection="1">
      <alignment horizontal="left" vertical="center" wrapText="1"/>
      <protection locked="0"/>
    </xf>
    <xf numFmtId="0" fontId="69" fillId="10" borderId="35" xfId="0" applyFont="1" applyFill="1" applyBorder="1" applyAlignment="1" applyProtection="1">
      <alignment horizontal="left" vertical="center" wrapText="1"/>
      <protection locked="0"/>
    </xf>
    <xf numFmtId="0" fontId="69" fillId="10" borderId="36" xfId="0" applyFont="1" applyFill="1" applyBorder="1" applyAlignment="1" applyProtection="1">
      <alignment horizontal="left" vertical="center" wrapText="1"/>
      <protection locked="0"/>
    </xf>
    <xf numFmtId="0" fontId="85" fillId="3" borderId="10" xfId="0" applyFont="1" applyFill="1" applyBorder="1" applyAlignment="1">
      <alignment horizontal="center" vertical="center" wrapText="1"/>
    </xf>
    <xf numFmtId="0" fontId="86" fillId="10" borderId="17" xfId="0" applyFont="1" applyFill="1" applyBorder="1" applyAlignment="1" applyProtection="1">
      <alignment horizontal="left" vertical="center" wrapText="1"/>
      <protection locked="0"/>
    </xf>
    <xf numFmtId="0" fontId="85" fillId="3" borderId="21" xfId="0" applyFont="1" applyFill="1" applyBorder="1" applyAlignment="1">
      <alignment horizontal="center" vertical="center" wrapText="1"/>
    </xf>
    <xf numFmtId="0" fontId="87" fillId="10" borderId="31" xfId="0" applyFont="1" applyFill="1" applyBorder="1" applyAlignment="1" applyProtection="1">
      <alignment horizontal="left" vertical="center" wrapText="1"/>
      <protection locked="0"/>
    </xf>
    <xf numFmtId="0" fontId="85" fillId="3" borderId="19" xfId="0" applyFont="1" applyFill="1" applyBorder="1" applyAlignment="1">
      <alignment horizontal="center" vertical="center" wrapText="1"/>
    </xf>
    <xf numFmtId="0" fontId="88" fillId="12" borderId="69" xfId="0" applyFont="1" applyFill="1" applyBorder="1" applyAlignment="1">
      <alignment horizontal="left" vertical="center" wrapText="1"/>
    </xf>
    <xf numFmtId="0" fontId="88" fillId="12" borderId="70" xfId="0" applyFont="1" applyFill="1" applyBorder="1" applyAlignment="1">
      <alignment horizontal="left" vertical="center" wrapText="1"/>
    </xf>
    <xf numFmtId="0" fontId="88" fillId="12" borderId="64" xfId="0" applyFont="1" applyFill="1" applyBorder="1" applyAlignment="1">
      <alignment horizontal="left" vertical="center" wrapText="1"/>
    </xf>
    <xf numFmtId="0" fontId="88" fillId="12" borderId="72" xfId="0" applyFont="1" applyFill="1" applyBorder="1" applyAlignment="1">
      <alignment horizontal="left" vertical="center" wrapText="1"/>
    </xf>
    <xf numFmtId="0" fontId="88" fillId="12" borderId="22" xfId="0" applyFont="1" applyFill="1" applyBorder="1" applyAlignment="1">
      <alignment horizontal="left" vertical="center" wrapText="1"/>
    </xf>
    <xf numFmtId="0" fontId="88" fillId="12" borderId="48" xfId="0" applyFont="1" applyFill="1" applyBorder="1" applyAlignment="1">
      <alignment horizontal="left" vertical="center" wrapText="1"/>
    </xf>
    <xf numFmtId="0" fontId="89" fillId="10" borderId="17" xfId="0" applyFont="1" applyFill="1" applyBorder="1" applyAlignment="1" applyProtection="1">
      <alignment horizontal="left" vertical="center" wrapText="1"/>
      <protection locked="0"/>
    </xf>
    <xf numFmtId="0" fontId="42" fillId="10" borderId="31" xfId="0" applyFont="1" applyFill="1" applyBorder="1" applyAlignment="1" applyProtection="1">
      <alignment horizontal="left" vertical="center" wrapText="1"/>
      <protection locked="0"/>
    </xf>
    <xf numFmtId="176" fontId="90" fillId="10" borderId="13" xfId="0" applyNumberFormat="1" applyFont="1" applyFill="1" applyBorder="1" applyAlignment="1" applyProtection="1">
      <alignment horizontal="center" vertical="center" wrapText="1"/>
      <protection locked="0"/>
    </xf>
    <xf numFmtId="176" fontId="90" fillId="10" borderId="25" xfId="0" applyNumberFormat="1" applyFont="1" applyFill="1" applyBorder="1" applyAlignment="1" applyProtection="1">
      <alignment horizontal="center" vertical="center" wrapText="1"/>
      <protection locked="0"/>
    </xf>
    <xf numFmtId="0" fontId="91" fillId="10" borderId="15" xfId="0" applyFont="1" applyFill="1" applyBorder="1" applyAlignment="1" applyProtection="1">
      <alignment horizontal="left" vertical="center" wrapText="1" indent="1"/>
      <protection locked="0"/>
    </xf>
    <xf numFmtId="0" fontId="91" fillId="10" borderId="27" xfId="0" applyFont="1" applyFill="1" applyBorder="1" applyAlignment="1" applyProtection="1">
      <alignment horizontal="left" vertical="center" wrapText="1" indent="1"/>
      <protection locked="0"/>
    </xf>
    <xf numFmtId="0" fontId="91" fillId="10" borderId="18" xfId="0" applyFont="1" applyFill="1" applyBorder="1" applyAlignment="1" applyProtection="1">
      <alignment horizontal="left" vertical="center" wrapText="1" indent="1"/>
      <protection locked="0"/>
    </xf>
    <xf numFmtId="0" fontId="91" fillId="10" borderId="29" xfId="0" applyFont="1" applyFill="1" applyBorder="1" applyAlignment="1" applyProtection="1">
      <alignment horizontal="left" vertical="center" wrapText="1" indent="1"/>
      <protection locked="0"/>
    </xf>
    <xf numFmtId="0" fontId="92" fillId="10" borderId="15" xfId="0" applyFont="1" applyFill="1" applyBorder="1" applyAlignment="1" applyProtection="1">
      <alignment horizontal="left" vertical="center" wrapText="1" indent="1"/>
      <protection locked="0"/>
    </xf>
    <xf numFmtId="0" fontId="92" fillId="10" borderId="27" xfId="0" applyFont="1" applyFill="1" applyBorder="1" applyAlignment="1" applyProtection="1">
      <alignment horizontal="left" vertical="center" wrapText="1" indent="1"/>
      <protection locked="0"/>
    </xf>
    <xf numFmtId="0" fontId="93" fillId="10" borderId="24" xfId="0" applyFont="1" applyFill="1" applyBorder="1" applyAlignment="1" applyProtection="1">
      <alignment horizontal="left" vertical="center" wrapText="1"/>
      <protection locked="0"/>
    </xf>
    <xf numFmtId="0" fontId="92" fillId="10" borderId="18" xfId="0" applyFont="1" applyFill="1" applyBorder="1" applyAlignment="1" applyProtection="1">
      <alignment horizontal="left" vertical="center" wrapText="1" indent="1"/>
      <protection locked="0"/>
    </xf>
    <xf numFmtId="0" fontId="92" fillId="10" borderId="29" xfId="0" applyFont="1" applyFill="1" applyBorder="1" applyAlignment="1" applyProtection="1">
      <alignment horizontal="left" vertical="center" wrapText="1" indent="1"/>
      <protection locked="0"/>
    </xf>
    <xf numFmtId="176" fontId="90" fillId="10" borderId="34" xfId="0" applyNumberFormat="1" applyFont="1" applyFill="1" applyBorder="1" applyAlignment="1" applyProtection="1">
      <alignment horizontal="center" vertical="center" wrapText="1"/>
      <protection locked="0"/>
    </xf>
    <xf numFmtId="0" fontId="91" fillId="10" borderId="35" xfId="0" applyFont="1" applyFill="1" applyBorder="1" applyAlignment="1" applyProtection="1">
      <alignment horizontal="left" vertical="center" wrapText="1" indent="1"/>
      <protection locked="0"/>
    </xf>
    <xf numFmtId="0" fontId="91" fillId="10" borderId="36" xfId="0" applyFont="1" applyFill="1" applyBorder="1" applyAlignment="1" applyProtection="1">
      <alignment horizontal="left" vertical="center" wrapText="1" indent="1"/>
      <protection locked="0"/>
    </xf>
    <xf numFmtId="0" fontId="92" fillId="10" borderId="35" xfId="0" applyFont="1" applyFill="1" applyBorder="1" applyAlignment="1" applyProtection="1">
      <alignment horizontal="left" vertical="center" wrapText="1" indent="1"/>
      <protection locked="0"/>
    </xf>
    <xf numFmtId="0" fontId="92" fillId="10" borderId="36" xfId="0" applyFont="1" applyFill="1" applyBorder="1" applyAlignment="1" applyProtection="1">
      <alignment horizontal="left" vertical="center" wrapText="1" indent="1"/>
      <protection locked="0"/>
    </xf>
    <xf numFmtId="0" fontId="94" fillId="10" borderId="17" xfId="0" applyFont="1" applyFill="1" applyBorder="1" applyAlignment="1" applyProtection="1">
      <alignment horizontal="left" vertical="center" wrapText="1"/>
      <protection locked="0"/>
    </xf>
    <xf numFmtId="0" fontId="94" fillId="10" borderId="31" xfId="0" applyFont="1" applyFill="1" applyBorder="1" applyAlignment="1" applyProtection="1">
      <alignment horizontal="left" vertical="center" wrapText="1"/>
      <protection locked="0"/>
    </xf>
    <xf numFmtId="0" fontId="92" fillId="10" borderId="17" xfId="0" applyFont="1" applyFill="1" applyBorder="1" applyAlignment="1" applyProtection="1">
      <alignment horizontal="left" vertical="center" wrapText="1"/>
      <protection locked="0"/>
    </xf>
    <xf numFmtId="0" fontId="95" fillId="10" borderId="24" xfId="0" applyFont="1" applyFill="1" applyBorder="1" applyAlignment="1" applyProtection="1">
      <alignment horizontal="left" vertical="center" wrapText="1"/>
      <protection locked="0"/>
    </xf>
    <xf numFmtId="0" fontId="47" fillId="12" borderId="49" xfId="0" applyFont="1" applyFill="1" applyBorder="1" applyAlignment="1">
      <alignment horizontal="center" vertical="top" wrapText="1"/>
    </xf>
    <xf numFmtId="0" fontId="56" fillId="12" borderId="73" xfId="0" applyFont="1" applyFill="1" applyBorder="1" applyAlignment="1">
      <alignment vertical="center" wrapText="1"/>
    </xf>
    <xf numFmtId="0" fontId="56" fillId="12" borderId="74" xfId="0" applyFont="1" applyFill="1" applyBorder="1" applyAlignment="1">
      <alignment vertical="center" wrapText="1"/>
    </xf>
    <xf numFmtId="0" fontId="46" fillId="0" borderId="0" xfId="0" applyFont="1" applyBorder="1" applyAlignment="1">
      <alignment horizontal="left" vertical="center" wrapText="1"/>
    </xf>
    <xf numFmtId="0" fontId="47" fillId="0" borderId="0" xfId="0" applyFont="1" applyAlignment="1">
      <alignment horizontal="left" vertical="center" wrapText="1"/>
    </xf>
    <xf numFmtId="0" fontId="69" fillId="10" borderId="17" xfId="0" applyFont="1" applyFill="1" applyBorder="1" applyAlignment="1" applyProtection="1">
      <alignment horizontal="left" vertical="center" wrapText="1"/>
      <protection locked="0"/>
    </xf>
    <xf numFmtId="0" fontId="40" fillId="10" borderId="17" xfId="0" applyFont="1" applyFill="1" applyBorder="1" applyAlignment="1" applyProtection="1">
      <alignment horizontal="left" vertical="center" wrapText="1"/>
      <protection locked="0"/>
    </xf>
    <xf numFmtId="0" fontId="41" fillId="10" borderId="24" xfId="0" applyFont="1" applyFill="1" applyBorder="1" applyAlignment="1" applyProtection="1">
      <alignment horizontal="left" vertical="center" wrapText="1"/>
      <protection locked="0"/>
    </xf>
    <xf numFmtId="0" fontId="96" fillId="10" borderId="24" xfId="0" applyFont="1" applyFill="1" applyBorder="1" applyAlignment="1" applyProtection="1">
      <alignment horizontal="left" vertical="center" wrapText="1"/>
      <protection locked="0"/>
    </xf>
    <xf numFmtId="0" fontId="97" fillId="0" borderId="0" xfId="0" applyFont="1" applyBorder="1" applyAlignment="1">
      <alignment horizontal="center" vertical="center" wrapText="1"/>
    </xf>
    <xf numFmtId="0" fontId="97" fillId="0" borderId="0" xfId="0" applyFont="1" applyAlignment="1">
      <alignment horizontal="center" vertical="center" wrapText="1"/>
    </xf>
    <xf numFmtId="0" fontId="1" fillId="0" borderId="0" xfId="0" applyFont="1" applyAlignment="1">
      <alignment horizontal="center" vertical="center"/>
    </xf>
    <xf numFmtId="0" fontId="6" fillId="3" borderId="75" xfId="0" applyFont="1" applyFill="1" applyBorder="1" applyAlignment="1">
      <alignment horizontal="center" vertical="center" wrapText="1"/>
    </xf>
    <xf numFmtId="0" fontId="5" fillId="5" borderId="13" xfId="0" applyFont="1" applyFill="1" applyBorder="1" applyAlignment="1">
      <alignment horizontal="center" vertical="center" wrapText="1"/>
    </xf>
    <xf numFmtId="176" fontId="63" fillId="10" borderId="76" xfId="0" applyNumberFormat="1" applyFont="1" applyFill="1" applyBorder="1" applyAlignment="1" applyProtection="1">
      <alignment horizontal="center" vertical="center" wrapText="1"/>
      <protection locked="0"/>
    </xf>
    <xf numFmtId="176" fontId="63" fillId="10" borderId="77" xfId="0" applyNumberFormat="1" applyFont="1" applyFill="1" applyBorder="1" applyAlignment="1" applyProtection="1">
      <alignment horizontal="center" vertical="center" wrapText="1"/>
      <protection locked="0"/>
    </xf>
    <xf numFmtId="0" fontId="5" fillId="5" borderId="15" xfId="0" applyFont="1" applyFill="1" applyBorder="1" applyAlignment="1">
      <alignment horizontal="center" vertical="center" wrapText="1"/>
    </xf>
    <xf numFmtId="0" fontId="44" fillId="10" borderId="78" xfId="0" applyFont="1" applyFill="1" applyBorder="1" applyAlignment="1" applyProtection="1">
      <alignment horizontal="left" vertical="center" wrapText="1" indent="1"/>
      <protection locked="0"/>
    </xf>
    <xf numFmtId="0" fontId="37" fillId="10" borderId="79" xfId="0" applyFont="1" applyFill="1" applyBorder="1" applyAlignment="1" applyProtection="1">
      <alignment horizontal="left" vertical="center" wrapText="1" indent="1"/>
      <protection locked="0"/>
    </xf>
    <xf numFmtId="0" fontId="5" fillId="5" borderId="18" xfId="0" applyFont="1" applyFill="1" applyBorder="1" applyAlignment="1">
      <alignment horizontal="center" vertical="center" wrapText="1"/>
    </xf>
    <xf numFmtId="0" fontId="37" fillId="10" borderId="80" xfId="0" applyFont="1" applyFill="1" applyBorder="1" applyAlignment="1" applyProtection="1">
      <alignment horizontal="left" vertical="center" wrapText="1" indent="1"/>
      <protection locked="0"/>
    </xf>
    <xf numFmtId="0" fontId="37" fillId="10" borderId="81" xfId="0" applyFont="1" applyFill="1" applyBorder="1" applyAlignment="1" applyProtection="1">
      <alignment horizontal="left" vertical="center" wrapText="1" indent="1"/>
      <protection locked="0"/>
    </xf>
    <xf numFmtId="0" fontId="28" fillId="10" borderId="15" xfId="0" applyFont="1" applyFill="1" applyBorder="1" applyAlignment="1" applyProtection="1">
      <alignment horizontal="left" vertical="center" wrapText="1" indent="1"/>
      <protection locked="0"/>
    </xf>
    <xf numFmtId="0" fontId="27" fillId="10" borderId="27" xfId="0" applyFont="1" applyFill="1" applyBorder="1" applyAlignment="1" applyProtection="1">
      <alignment horizontal="left" vertical="center" wrapText="1" indent="1"/>
      <protection locked="0"/>
    </xf>
    <xf numFmtId="0" fontId="27" fillId="10" borderId="18" xfId="0" applyFont="1" applyFill="1" applyBorder="1" applyAlignment="1" applyProtection="1">
      <alignment horizontal="left" vertical="center" wrapText="1" indent="1"/>
      <protection locked="0"/>
    </xf>
    <xf numFmtId="0" fontId="27" fillId="10" borderId="29" xfId="0" applyFont="1" applyFill="1" applyBorder="1" applyAlignment="1" applyProtection="1">
      <alignment horizontal="left" vertical="center" wrapText="1" indent="1"/>
      <protection locked="0"/>
    </xf>
    <xf numFmtId="0" fontId="32" fillId="10" borderId="27" xfId="0" applyFont="1" applyFill="1" applyBorder="1" applyAlignment="1" applyProtection="1">
      <alignment horizontal="left" vertical="center" wrapText="1" indent="1"/>
      <protection locked="0"/>
    </xf>
    <xf numFmtId="0" fontId="98" fillId="10" borderId="24" xfId="0" applyFont="1" applyFill="1" applyBorder="1" applyAlignment="1" applyProtection="1">
      <alignment horizontal="left" vertical="center" wrapText="1"/>
      <protection locked="0"/>
    </xf>
    <xf numFmtId="0" fontId="32" fillId="10" borderId="18" xfId="0" applyFont="1" applyFill="1" applyBorder="1" applyAlignment="1" applyProtection="1">
      <alignment horizontal="left" vertical="center" wrapText="1" indent="1"/>
      <protection locked="0"/>
    </xf>
    <xf numFmtId="0" fontId="32" fillId="10" borderId="29" xfId="0" applyFont="1" applyFill="1" applyBorder="1" applyAlignment="1" applyProtection="1">
      <alignment horizontal="left" vertical="center" wrapText="1" indent="1"/>
      <protection locked="0"/>
    </xf>
    <xf numFmtId="0" fontId="83" fillId="10" borderId="15" xfId="0" applyFont="1" applyFill="1" applyBorder="1" applyAlignment="1" applyProtection="1">
      <alignment horizontal="left" vertical="center" wrapText="1" indent="1"/>
      <protection locked="0"/>
    </xf>
    <xf numFmtId="0" fontId="77" fillId="10" borderId="27" xfId="0" applyFont="1" applyFill="1" applyBorder="1" applyAlignment="1" applyProtection="1">
      <alignment horizontal="left" vertical="center" wrapText="1" indent="1"/>
      <protection locked="0"/>
    </xf>
    <xf numFmtId="0" fontId="64" fillId="10" borderId="17" xfId="0" applyFont="1" applyFill="1" applyBorder="1" applyAlignment="1" applyProtection="1">
      <alignment horizontal="left" vertical="center" wrapText="1"/>
      <protection locked="0"/>
    </xf>
    <xf numFmtId="0" fontId="65" fillId="10" borderId="17" xfId="0" applyFont="1" applyFill="1" applyBorder="1" applyAlignment="1" applyProtection="1">
      <alignment horizontal="left" vertical="center" wrapText="1"/>
      <protection locked="0"/>
    </xf>
    <xf numFmtId="0" fontId="77" fillId="10" borderId="18" xfId="0" applyFont="1" applyFill="1" applyBorder="1" applyAlignment="1" applyProtection="1">
      <alignment horizontal="left" vertical="center" wrapText="1" indent="1"/>
      <protection locked="0"/>
    </xf>
    <xf numFmtId="0" fontId="77" fillId="10" borderId="29" xfId="0" applyFont="1" applyFill="1" applyBorder="1" applyAlignment="1" applyProtection="1">
      <alignment horizontal="left" vertical="center" wrapText="1" indent="1"/>
      <protection locked="0"/>
    </xf>
    <xf numFmtId="0" fontId="6" fillId="3" borderId="82" xfId="0" applyFont="1" applyFill="1" applyBorder="1" applyAlignment="1">
      <alignment horizontal="center" vertical="center" wrapText="1"/>
    </xf>
    <xf numFmtId="176" fontId="63" fillId="10" borderId="83" xfId="0" applyNumberFormat="1" applyFont="1" applyFill="1" applyBorder="1" applyAlignment="1" applyProtection="1">
      <alignment horizontal="center" vertical="center" wrapText="1"/>
      <protection locked="0"/>
    </xf>
    <xf numFmtId="0" fontId="37" fillId="10" borderId="84" xfId="0" applyFont="1" applyFill="1" applyBorder="1" applyAlignment="1" applyProtection="1">
      <alignment horizontal="left" vertical="center" wrapText="1" indent="1"/>
      <protection locked="0"/>
    </xf>
    <xf numFmtId="0" fontId="37" fillId="10" borderId="85" xfId="0" applyFont="1" applyFill="1" applyBorder="1" applyAlignment="1" applyProtection="1">
      <alignment horizontal="left" vertical="center" wrapText="1" indent="1"/>
      <protection locked="0"/>
    </xf>
    <xf numFmtId="0" fontId="27" fillId="10" borderId="35" xfId="0" applyFont="1" applyFill="1" applyBorder="1" applyAlignment="1" applyProtection="1">
      <alignment horizontal="left" vertical="center" wrapText="1" indent="1"/>
      <protection locked="0"/>
    </xf>
    <xf numFmtId="0" fontId="27" fillId="10" borderId="36" xfId="0" applyFont="1" applyFill="1" applyBorder="1" applyAlignment="1" applyProtection="1">
      <alignment horizontal="left" vertical="center" wrapText="1" indent="1"/>
      <protection locked="0"/>
    </xf>
    <xf numFmtId="0" fontId="32" fillId="10" borderId="35" xfId="0" applyFont="1" applyFill="1" applyBorder="1" applyAlignment="1" applyProtection="1">
      <alignment horizontal="left" vertical="center" wrapText="1" indent="1"/>
      <protection locked="0"/>
    </xf>
    <xf numFmtId="0" fontId="32" fillId="10" borderId="36" xfId="0" applyFont="1" applyFill="1" applyBorder="1" applyAlignment="1" applyProtection="1">
      <alignment horizontal="left" vertical="center" wrapText="1" indent="1"/>
      <protection locked="0"/>
    </xf>
    <xf numFmtId="0" fontId="6" fillId="13" borderId="0" xfId="0" applyFont="1" applyFill="1" applyBorder="1" applyAlignment="1">
      <alignment horizontal="center" vertical="center" wrapText="1"/>
    </xf>
    <xf numFmtId="176" fontId="48" fillId="10" borderId="26" xfId="0" applyNumberFormat="1" applyFont="1" applyFill="1" applyBorder="1" applyAlignment="1" applyProtection="1">
      <alignment horizontal="center" vertical="center" wrapText="1"/>
      <protection locked="0"/>
    </xf>
    <xf numFmtId="0" fontId="5" fillId="13" borderId="0" xfId="0" applyFont="1" applyFill="1" applyBorder="1" applyAlignment="1">
      <alignment horizontal="center" vertical="center" wrapText="1"/>
    </xf>
    <xf numFmtId="176" fontId="16" fillId="13" borderId="0" xfId="0" applyNumberFormat="1" applyFont="1" applyFill="1" applyBorder="1" applyAlignment="1" applyProtection="1">
      <alignment horizontal="center" vertical="center" shrinkToFit="1"/>
      <protection locked="0"/>
    </xf>
    <xf numFmtId="178" fontId="16" fillId="13" borderId="0" xfId="0" applyNumberFormat="1" applyFont="1" applyFill="1" applyBorder="1" applyAlignment="1" applyProtection="1">
      <alignment horizontal="center" vertical="center" shrinkToFit="1"/>
      <protection locked="0"/>
    </xf>
    <xf numFmtId="0" fontId="4" fillId="13" borderId="0" xfId="0" applyFont="1" applyFill="1" applyBorder="1" applyAlignment="1" applyProtection="1">
      <alignment horizontal="center" vertical="center" wrapText="1"/>
      <protection locked="0"/>
    </xf>
    <xf numFmtId="0" fontId="77" fillId="10" borderId="28" xfId="0" applyFont="1" applyFill="1" applyBorder="1" applyAlignment="1" applyProtection="1">
      <alignment horizontal="left" vertical="center" wrapText="1" indent="1"/>
      <protection locked="0"/>
    </xf>
    <xf numFmtId="177" fontId="16" fillId="13" borderId="0" xfId="0" applyNumberFormat="1" applyFont="1" applyFill="1" applyBorder="1" applyAlignment="1" applyProtection="1">
      <alignment horizontal="center" vertical="center" shrinkToFit="1"/>
      <protection locked="0"/>
    </xf>
    <xf numFmtId="179" fontId="16" fillId="13" borderId="0" xfId="0" applyNumberFormat="1" applyFont="1" applyFill="1" applyBorder="1" applyAlignment="1" applyProtection="1">
      <alignment horizontal="center" vertical="center" shrinkToFit="1"/>
      <protection locked="0"/>
    </xf>
    <xf numFmtId="0" fontId="77" fillId="10" borderId="30" xfId="0" applyFont="1" applyFill="1" applyBorder="1" applyAlignment="1" applyProtection="1">
      <alignment horizontal="left" vertical="center" wrapText="1" indent="1"/>
      <protection locked="0"/>
    </xf>
    <xf numFmtId="0" fontId="32" fillId="13" borderId="0" xfId="0" applyFont="1" applyFill="1" applyBorder="1" applyAlignment="1" applyProtection="1">
      <alignment horizontal="left" vertical="center" wrapText="1"/>
      <protection locked="0"/>
    </xf>
    <xf numFmtId="0" fontId="30" fillId="13" borderId="0" xfId="0" applyFont="1" applyFill="1" applyBorder="1" applyAlignment="1" applyProtection="1">
      <alignment horizontal="left" vertical="center" wrapText="1"/>
      <protection locked="0"/>
    </xf>
    <xf numFmtId="0" fontId="99" fillId="10" borderId="24" xfId="0" applyFont="1" applyFill="1" applyBorder="1" applyAlignment="1" applyProtection="1">
      <alignment horizontal="left" vertical="center" wrapText="1"/>
      <protection locked="0"/>
    </xf>
    <xf numFmtId="0" fontId="55" fillId="12" borderId="86" xfId="0" applyFont="1" applyFill="1" applyBorder="1" applyAlignment="1">
      <alignment horizontal="left" vertical="center" wrapText="1"/>
    </xf>
    <xf numFmtId="0" fontId="55" fillId="12" borderId="87" xfId="0" applyFont="1" applyFill="1" applyBorder="1" applyAlignment="1">
      <alignment horizontal="left" vertical="center" wrapText="1"/>
    </xf>
    <xf numFmtId="0" fontId="55" fillId="12" borderId="88" xfId="0" applyFont="1" applyFill="1" applyBorder="1" applyAlignment="1">
      <alignment horizontal="left" vertical="center" wrapText="1"/>
    </xf>
    <xf numFmtId="0" fontId="56" fillId="12" borderId="89" xfId="0" applyFont="1" applyFill="1" applyBorder="1" applyAlignment="1">
      <alignment horizontal="left" vertical="center" wrapText="1"/>
    </xf>
    <xf numFmtId="0" fontId="56" fillId="12" borderId="90" xfId="0" applyFont="1" applyFill="1" applyBorder="1" applyAlignment="1">
      <alignment horizontal="left" vertical="center" wrapText="1"/>
    </xf>
    <xf numFmtId="0" fontId="56" fillId="12" borderId="91" xfId="0" applyFont="1" applyFill="1" applyBorder="1" applyAlignment="1">
      <alignment horizontal="left" vertical="center" wrapText="1"/>
    </xf>
    <xf numFmtId="0" fontId="84" fillId="10" borderId="17" xfId="0" applyFont="1" applyFill="1" applyBorder="1" applyAlignment="1" applyProtection="1">
      <alignment horizontal="left" vertical="center" wrapText="1"/>
      <protection locked="0"/>
    </xf>
    <xf numFmtId="0" fontId="60" fillId="10" borderId="31" xfId="0" applyFont="1" applyFill="1" applyBorder="1" applyAlignment="1" applyProtection="1">
      <alignment horizontal="left" vertical="center" wrapText="1"/>
      <protection locked="0"/>
    </xf>
    <xf numFmtId="0" fontId="51" fillId="10" borderId="17" xfId="0" applyFont="1" applyFill="1" applyBorder="1" applyAlignment="1" applyProtection="1">
      <alignment horizontal="left" vertical="center" wrapText="1"/>
      <protection locked="0"/>
    </xf>
    <xf numFmtId="0" fontId="77" fillId="10" borderId="24" xfId="0" applyFont="1" applyFill="1" applyBorder="1" applyAlignment="1" applyProtection="1">
      <alignment horizontal="left" vertical="center" wrapText="1"/>
      <protection locked="0"/>
    </xf>
    <xf numFmtId="0" fontId="6" fillId="3" borderId="92" xfId="0" applyFont="1" applyFill="1" applyBorder="1" applyAlignment="1">
      <alignment horizontal="center" vertical="center" wrapText="1"/>
    </xf>
    <xf numFmtId="0" fontId="6" fillId="3" borderId="93" xfId="0" applyFont="1" applyFill="1" applyBorder="1" applyAlignment="1">
      <alignment horizontal="center" vertical="center" wrapText="1"/>
    </xf>
    <xf numFmtId="0" fontId="4" fillId="10" borderId="13" xfId="0" applyFont="1" applyFill="1" applyBorder="1" applyAlignment="1" applyProtection="1">
      <alignment horizontal="center" vertical="center" wrapText="1"/>
      <protection locked="0"/>
    </xf>
    <xf numFmtId="0" fontId="5" fillId="5" borderId="94" xfId="0" applyFont="1" applyFill="1" applyBorder="1" applyAlignment="1">
      <alignment horizontal="center" vertical="center" wrapText="1"/>
    </xf>
    <xf numFmtId="176" fontId="48" fillId="10" borderId="95" xfId="0" applyNumberFormat="1" applyFont="1" applyFill="1" applyBorder="1" applyAlignment="1" applyProtection="1">
      <alignment horizontal="center" vertical="center" wrapText="1"/>
      <protection locked="0"/>
    </xf>
    <xf numFmtId="0" fontId="28" fillId="10" borderId="95" xfId="0" applyFont="1" applyFill="1" applyBorder="1" applyAlignment="1" applyProtection="1">
      <alignment horizontal="left" vertical="center" wrapText="1" indent="1"/>
      <protection locked="0"/>
    </xf>
    <xf numFmtId="0" fontId="27" fillId="10" borderId="18" xfId="0" applyFont="1" applyFill="1" applyBorder="1" applyAlignment="1" applyProtection="1">
      <alignment horizontal="left" vertical="center" wrapText="1"/>
      <protection locked="0"/>
    </xf>
    <xf numFmtId="0" fontId="5" fillId="5" borderId="96" xfId="0" applyFont="1" applyFill="1" applyBorder="1" applyAlignment="1">
      <alignment horizontal="center" vertical="center" wrapText="1"/>
    </xf>
    <xf numFmtId="0" fontId="28" fillId="10" borderId="97" xfId="0" applyFont="1" applyFill="1" applyBorder="1" applyAlignment="1" applyProtection="1">
      <alignment horizontal="left" vertical="center" wrapText="1" indent="1"/>
      <protection locked="0"/>
    </xf>
    <xf numFmtId="0" fontId="30" fillId="10" borderId="15" xfId="0" applyFont="1" applyFill="1" applyBorder="1" applyAlignment="1" applyProtection="1">
      <alignment horizontal="left" vertical="center" wrapText="1" indent="1"/>
      <protection locked="0"/>
    </xf>
    <xf numFmtId="0" fontId="28" fillId="10" borderId="39" xfId="0" applyFont="1" applyFill="1" applyBorder="1" applyAlignment="1" applyProtection="1">
      <alignment horizontal="left" vertical="center" wrapText="1"/>
      <protection locked="0"/>
    </xf>
    <xf numFmtId="0" fontId="6" fillId="3" borderId="98" xfId="0" applyFont="1" applyFill="1" applyBorder="1" applyAlignment="1">
      <alignment horizontal="center" vertical="center" wrapText="1"/>
    </xf>
    <xf numFmtId="176" fontId="48" fillId="10" borderId="99" xfId="0" applyNumberFormat="1" applyFont="1" applyFill="1" applyBorder="1" applyAlignment="1" applyProtection="1">
      <alignment horizontal="center" vertical="center" wrapText="1"/>
      <protection locked="0"/>
    </xf>
    <xf numFmtId="0" fontId="28" fillId="10" borderId="99" xfId="0" applyFont="1" applyFill="1" applyBorder="1" applyAlignment="1" applyProtection="1">
      <alignment horizontal="left" vertical="center" wrapText="1" indent="1"/>
      <protection locked="0"/>
    </xf>
    <xf numFmtId="0" fontId="28" fillId="10" borderId="100" xfId="0" applyFont="1" applyFill="1" applyBorder="1" applyAlignment="1" applyProtection="1">
      <alignment horizontal="left" vertical="center" wrapText="1" indent="1"/>
      <protection locked="0"/>
    </xf>
    <xf numFmtId="0" fontId="9" fillId="10" borderId="35" xfId="0" applyFont="1" applyFill="1" applyBorder="1" applyAlignment="1" applyProtection="1">
      <alignment horizontal="left" vertical="center" wrapText="1" indent="1"/>
      <protection locked="0"/>
    </xf>
    <xf numFmtId="0" fontId="9" fillId="10" borderId="36" xfId="0" applyFont="1" applyFill="1" applyBorder="1" applyAlignment="1" applyProtection="1">
      <alignment horizontal="left" vertical="center" wrapText="1" indent="1"/>
      <protection locked="0"/>
    </xf>
    <xf numFmtId="0" fontId="100" fillId="10" borderId="24" xfId="0" applyFont="1" applyFill="1" applyBorder="1" applyAlignment="1" applyProtection="1">
      <alignment horizontal="left" vertical="center" wrapText="1"/>
      <protection locked="0"/>
    </xf>
    <xf numFmtId="0" fontId="69" fillId="10" borderId="31" xfId="0" applyFont="1" applyFill="1" applyBorder="1" applyAlignment="1" applyProtection="1">
      <alignment horizontal="left" vertical="center" wrapText="1"/>
      <protection locked="0"/>
    </xf>
    <xf numFmtId="0" fontId="101" fillId="10" borderId="17" xfId="0" applyFont="1" applyFill="1" applyBorder="1" applyAlignment="1" applyProtection="1">
      <alignment horizontal="left" vertical="center" wrapText="1"/>
      <protection locked="0"/>
    </xf>
    <xf numFmtId="0" fontId="102" fillId="10" borderId="31" xfId="0" applyFont="1" applyFill="1" applyBorder="1" applyAlignment="1" applyProtection="1">
      <alignment horizontal="left" vertical="center" wrapText="1"/>
      <protection locked="0"/>
    </xf>
    <xf numFmtId="179" fontId="16" fillId="10" borderId="12" xfId="0" applyNumberFormat="1" applyFont="1" applyFill="1" applyBorder="1" applyAlignment="1" applyProtection="1">
      <alignment horizontal="center" vertical="center" wrapText="1" shrinkToFit="1"/>
      <protection locked="0"/>
    </xf>
    <xf numFmtId="0" fontId="103" fillId="10" borderId="24" xfId="0" applyFont="1" applyFill="1" applyBorder="1" applyAlignment="1" applyProtection="1">
      <alignment horizontal="left" vertical="center" wrapText="1"/>
      <protection locked="0"/>
    </xf>
    <xf numFmtId="0" fontId="58" fillId="10" borderId="24" xfId="0" applyFont="1" applyFill="1" applyBorder="1" applyAlignment="1" applyProtection="1">
      <alignment horizontal="left" vertical="center" wrapText="1"/>
      <protection locked="0"/>
    </xf>
    <xf numFmtId="0" fontId="91" fillId="10" borderId="24" xfId="0" applyFont="1" applyFill="1" applyBorder="1" applyAlignment="1" applyProtection="1">
      <alignment horizontal="left" vertical="center" wrapText="1"/>
      <protection locked="0"/>
    </xf>
    <xf numFmtId="0" fontId="13" fillId="10" borderId="31" xfId="0" applyFont="1" applyFill="1" applyBorder="1" applyAlignment="1" applyProtection="1">
      <alignment horizontal="left" vertical="center" wrapText="1"/>
      <protection locked="0"/>
    </xf>
    <xf numFmtId="0" fontId="102" fillId="10" borderId="15" xfId="0" applyFont="1" applyFill="1" applyBorder="1" applyAlignment="1" applyProtection="1">
      <alignment horizontal="left" vertical="center" wrapText="1" indent="1"/>
      <protection locked="0"/>
    </xf>
    <xf numFmtId="0" fontId="104" fillId="10" borderId="17" xfId="0" applyFont="1" applyFill="1" applyBorder="1" applyAlignment="1" applyProtection="1">
      <alignment horizontal="left" vertical="center" wrapText="1"/>
      <protection locked="0"/>
    </xf>
    <xf numFmtId="176" fontId="12" fillId="10" borderId="34" xfId="0" applyNumberFormat="1" applyFont="1" applyFill="1" applyBorder="1" applyAlignment="1" applyProtection="1">
      <alignment horizontal="center" vertical="center" wrapText="1"/>
      <protection locked="0"/>
    </xf>
    <xf numFmtId="0" fontId="73" fillId="10" borderId="17" xfId="0" applyFont="1" applyFill="1" applyBorder="1" applyAlignment="1" applyProtection="1">
      <alignment horizontal="left" vertical="center" wrapText="1"/>
      <protection locked="0"/>
    </xf>
    <xf numFmtId="0" fontId="105" fillId="10" borderId="17" xfId="0" applyFont="1" applyFill="1" applyBorder="1" applyAlignment="1" applyProtection="1">
      <alignment horizontal="left" vertical="center" wrapText="1"/>
      <protection locked="0"/>
    </xf>
    <xf numFmtId="0" fontId="106" fillId="10" borderId="24" xfId="0" applyFont="1" applyFill="1" applyBorder="1" applyAlignment="1" applyProtection="1">
      <alignment horizontal="left" vertical="center" wrapText="1"/>
      <protection locked="0"/>
    </xf>
    <xf numFmtId="0" fontId="107" fillId="10" borderId="17" xfId="0" applyFont="1" applyFill="1" applyBorder="1" applyAlignment="1" applyProtection="1">
      <alignment horizontal="left" vertical="center" wrapText="1"/>
      <protection locked="0"/>
    </xf>
    <xf numFmtId="0" fontId="74" fillId="10" borderId="31" xfId="0" applyFont="1" applyFill="1" applyBorder="1" applyAlignment="1" applyProtection="1">
      <alignment horizontal="left" vertical="center" wrapText="1"/>
      <protection locked="0"/>
    </xf>
    <xf numFmtId="177" fontId="16" fillId="10" borderId="12" xfId="0" applyNumberFormat="1" applyFont="1" applyFill="1" applyBorder="1" applyAlignment="1" applyProtection="1">
      <alignment horizontal="center" vertical="center" wrapText="1" shrinkToFit="1"/>
      <protection locked="0"/>
    </xf>
    <xf numFmtId="0" fontId="108" fillId="10" borderId="24" xfId="0" applyFont="1" applyFill="1" applyBorder="1" applyAlignment="1" applyProtection="1">
      <alignment horizontal="left" vertical="center" wrapText="1"/>
      <protection locked="0"/>
    </xf>
    <xf numFmtId="0" fontId="109" fillId="10" borderId="24" xfId="0" applyFont="1" applyFill="1" applyBorder="1" applyAlignment="1" applyProtection="1">
      <alignment horizontal="left" vertical="center" wrapText="1"/>
      <protection locked="0"/>
    </xf>
    <xf numFmtId="0" fontId="28" fillId="10" borderId="27" xfId="0" applyFont="1" applyFill="1" applyBorder="1" applyAlignment="1" applyProtection="1">
      <alignment horizontal="left" vertical="center" wrapText="1" indent="1"/>
      <protection locked="0"/>
    </xf>
    <xf numFmtId="0" fontId="28" fillId="10" borderId="18" xfId="0" applyFont="1" applyFill="1" applyBorder="1" applyAlignment="1" applyProtection="1">
      <alignment horizontal="left" vertical="center" wrapText="1" indent="1"/>
      <protection locked="0"/>
    </xf>
    <xf numFmtId="0" fontId="28" fillId="10" borderId="29" xfId="0" applyFont="1" applyFill="1" applyBorder="1" applyAlignment="1" applyProtection="1">
      <alignment horizontal="left" vertical="center" wrapText="1" indent="1"/>
      <protection locked="0"/>
    </xf>
    <xf numFmtId="0" fontId="37" fillId="10" borderId="27" xfId="0" applyFont="1" applyFill="1" applyBorder="1" applyAlignment="1" applyProtection="1">
      <alignment horizontal="left" vertical="center" wrapText="1" indent="1"/>
      <protection locked="0"/>
    </xf>
    <xf numFmtId="0" fontId="37" fillId="10" borderId="18" xfId="0" applyFont="1" applyFill="1" applyBorder="1" applyAlignment="1" applyProtection="1">
      <alignment horizontal="left" vertical="center" wrapText="1" indent="1"/>
      <protection locked="0"/>
    </xf>
    <xf numFmtId="0" fontId="37" fillId="10" borderId="29" xfId="0" applyFont="1" applyFill="1" applyBorder="1" applyAlignment="1" applyProtection="1">
      <alignment horizontal="left" vertical="center" wrapText="1" indent="1"/>
      <protection locked="0"/>
    </xf>
    <xf numFmtId="0" fontId="94" fillId="10" borderId="15" xfId="0" applyFont="1" applyFill="1" applyBorder="1" applyAlignment="1" applyProtection="1">
      <alignment horizontal="left" vertical="center" wrapText="1" indent="1"/>
      <protection locked="0"/>
    </xf>
    <xf numFmtId="0" fontId="110" fillId="10" borderId="24" xfId="0" applyFont="1" applyFill="1" applyBorder="1" applyAlignment="1" applyProtection="1">
      <alignment horizontal="left" vertical="center" wrapText="1"/>
      <protection locked="0"/>
    </xf>
    <xf numFmtId="0" fontId="37" fillId="10" borderId="35" xfId="0" applyFont="1" applyFill="1" applyBorder="1" applyAlignment="1" applyProtection="1">
      <alignment horizontal="left" vertical="center" wrapText="1" indent="1"/>
      <protection locked="0"/>
    </xf>
    <xf numFmtId="0" fontId="37" fillId="10" borderId="36" xfId="0" applyFont="1" applyFill="1" applyBorder="1" applyAlignment="1" applyProtection="1">
      <alignment horizontal="left" vertical="center" wrapText="1" indent="1"/>
      <protection locked="0"/>
    </xf>
    <xf numFmtId="0" fontId="38" fillId="10" borderId="31" xfId="0" applyFont="1" applyFill="1" applyBorder="1" applyAlignment="1" applyProtection="1">
      <alignment horizontal="left" vertical="center" wrapText="1"/>
      <protection locked="0"/>
    </xf>
    <xf numFmtId="0" fontId="38" fillId="10" borderId="12" xfId="0" applyFont="1" applyFill="1" applyBorder="1" applyAlignment="1" applyProtection="1">
      <alignment horizontal="left" vertical="center" wrapText="1"/>
      <protection locked="0"/>
    </xf>
    <xf numFmtId="0" fontId="28" fillId="10" borderId="12" xfId="0" applyFont="1" applyFill="1" applyBorder="1" applyAlignment="1" applyProtection="1">
      <alignment horizontal="left" vertical="center" wrapText="1"/>
      <protection locked="0"/>
    </xf>
    <xf numFmtId="0" fontId="75" fillId="10" borderId="12" xfId="0" applyFont="1" applyFill="1" applyBorder="1" applyAlignment="1" applyProtection="1">
      <alignment horizontal="left" vertical="center" wrapText="1"/>
      <protection locked="0"/>
    </xf>
    <xf numFmtId="0" fontId="30" fillId="10" borderId="12" xfId="0" applyFont="1" applyFill="1" applyBorder="1" applyAlignment="1" applyProtection="1">
      <alignment horizontal="left" vertical="center" wrapText="1"/>
      <protection locked="0"/>
    </xf>
    <xf numFmtId="0" fontId="45" fillId="10" borderId="12" xfId="0" applyFont="1" applyFill="1" applyBorder="1" applyAlignment="1" applyProtection="1">
      <alignment horizontal="left" vertical="center" wrapText="1"/>
      <protection locked="0"/>
    </xf>
    <xf numFmtId="0" fontId="65" fillId="10" borderId="24" xfId="0" applyFont="1" applyFill="1" applyBorder="1" applyAlignment="1" applyProtection="1">
      <alignment horizontal="left" vertical="center" wrapText="1"/>
      <protection locked="0"/>
    </xf>
    <xf numFmtId="0" fontId="111" fillId="10" borderId="24" xfId="0" applyFont="1" applyFill="1" applyBorder="1" applyAlignment="1" applyProtection="1">
      <alignment horizontal="left" vertical="center" wrapText="1"/>
      <protection locked="0"/>
    </xf>
    <xf numFmtId="0" fontId="39" fillId="10" borderId="17" xfId="0" applyFont="1" applyFill="1" applyBorder="1" applyAlignment="1" applyProtection="1">
      <alignment horizontal="left" vertical="center" wrapText="1"/>
      <protection locked="0"/>
    </xf>
    <xf numFmtId="0" fontId="68" fillId="10" borderId="17" xfId="0" applyFont="1" applyFill="1" applyBorder="1" applyAlignment="1" applyProtection="1">
      <alignment horizontal="left" vertical="center" wrapText="1"/>
      <protection locked="0"/>
    </xf>
    <xf numFmtId="0" fontId="75" fillId="10" borderId="17" xfId="0" applyFont="1" applyFill="1" applyBorder="1" applyAlignment="1" applyProtection="1">
      <alignment horizontal="left" vertical="center" wrapText="1"/>
      <protection locked="0"/>
    </xf>
    <xf numFmtId="0" fontId="112" fillId="10" borderId="12" xfId="0" applyFont="1" applyFill="1" applyBorder="1" applyAlignment="1" applyProtection="1">
      <alignment horizontal="left" vertical="center" wrapText="1"/>
      <protection locked="0"/>
    </xf>
    <xf numFmtId="0" fontId="60" fillId="10" borderId="12" xfId="0" applyFont="1" applyFill="1" applyBorder="1" applyAlignment="1" applyProtection="1">
      <alignment horizontal="left" vertical="center" wrapText="1"/>
      <protection locked="0"/>
    </xf>
    <xf numFmtId="176" fontId="22" fillId="10" borderId="12" xfId="0" applyNumberFormat="1" applyFont="1" applyFill="1" applyBorder="1" applyAlignment="1" applyProtection="1">
      <alignment horizontal="center" vertical="center" wrapText="1"/>
      <protection locked="0"/>
    </xf>
    <xf numFmtId="176" fontId="22" fillId="10" borderId="38" xfId="0" applyNumberFormat="1" applyFont="1" applyFill="1" applyBorder="1" applyAlignment="1" applyProtection="1">
      <alignment horizontal="center" vertical="center" wrapText="1"/>
      <protection locked="0"/>
    </xf>
    <xf numFmtId="176" fontId="35" fillId="10" borderId="12" xfId="0" applyNumberFormat="1" applyFont="1" applyFill="1" applyBorder="1" applyAlignment="1" applyProtection="1">
      <alignment horizontal="center" vertical="center" wrapText="1"/>
      <protection locked="0"/>
    </xf>
    <xf numFmtId="0" fontId="23" fillId="10" borderId="12" xfId="0" applyFont="1" applyFill="1" applyBorder="1" applyAlignment="1" applyProtection="1">
      <alignment horizontal="left" vertical="center" wrapText="1" indent="1"/>
      <protection locked="0"/>
    </xf>
    <xf numFmtId="0" fontId="23" fillId="10" borderId="38" xfId="0" applyFont="1" applyFill="1" applyBorder="1" applyAlignment="1" applyProtection="1">
      <alignment horizontal="left" vertical="center" wrapText="1" indent="1"/>
      <protection locked="0"/>
    </xf>
    <xf numFmtId="0" fontId="33" fillId="10" borderId="12" xfId="0" applyFont="1" applyFill="1" applyBorder="1" applyAlignment="1" applyProtection="1">
      <alignment horizontal="left" vertical="center" wrapText="1" indent="1"/>
      <protection locked="0"/>
    </xf>
    <xf numFmtId="0" fontId="23" fillId="10" borderId="101" xfId="0" applyFont="1" applyFill="1" applyBorder="1" applyAlignment="1" applyProtection="1">
      <alignment horizontal="left" vertical="center" wrapText="1" indent="1"/>
      <protection locked="0"/>
    </xf>
    <xf numFmtId="0" fontId="23" fillId="10" borderId="102" xfId="0" applyFont="1" applyFill="1" applyBorder="1" applyAlignment="1" applyProtection="1">
      <alignment horizontal="left" vertical="center" wrapText="1" indent="1"/>
      <protection locked="0"/>
    </xf>
    <xf numFmtId="0" fontId="33" fillId="10" borderId="101" xfId="0" applyFont="1" applyFill="1" applyBorder="1" applyAlignment="1" applyProtection="1">
      <alignment horizontal="left" vertical="center" wrapText="1" indent="1"/>
      <protection locked="0"/>
    </xf>
    <xf numFmtId="176" fontId="35" fillId="10" borderId="38" xfId="0" applyNumberFormat="1" applyFont="1" applyFill="1" applyBorder="1" applyAlignment="1" applyProtection="1">
      <alignment horizontal="center" vertical="center" wrapText="1"/>
      <protection locked="0"/>
    </xf>
    <xf numFmtId="0" fontId="33" fillId="10" borderId="38" xfId="0" applyFont="1" applyFill="1" applyBorder="1" applyAlignment="1" applyProtection="1">
      <alignment horizontal="left" vertical="center" wrapText="1" indent="1"/>
      <protection locked="0"/>
    </xf>
    <xf numFmtId="0" fontId="33" fillId="10" borderId="102" xfId="0" applyFont="1" applyFill="1" applyBorder="1" applyAlignment="1" applyProtection="1">
      <alignment horizontal="left" vertical="center" wrapText="1" indent="1"/>
      <protection locked="0"/>
    </xf>
    <xf numFmtId="0" fontId="0" fillId="2" borderId="0" xfId="0" applyFill="1" applyAlignment="1">
      <alignment vertical="center"/>
    </xf>
    <xf numFmtId="0" fontId="2" fillId="2" borderId="0" xfId="0" applyFont="1" applyFill="1" applyAlignment="1">
      <alignment horizontal="right" vertical="center"/>
    </xf>
    <xf numFmtId="0" fontId="113" fillId="2" borderId="0" xfId="0" applyFont="1" applyFill="1" applyAlignment="1">
      <alignment horizontal="left"/>
    </xf>
    <xf numFmtId="0" fontId="0" fillId="3" borderId="103" xfId="0" applyFill="1" applyBorder="1">
      <alignment vertical="center"/>
    </xf>
    <xf numFmtId="0" fontId="0" fillId="3" borderId="104" xfId="0" applyFill="1" applyBorder="1">
      <alignment vertical="center"/>
    </xf>
    <xf numFmtId="0" fontId="5" fillId="4" borderId="105" xfId="0" applyFont="1" applyFill="1" applyBorder="1" applyAlignment="1">
      <alignment horizontal="center" vertical="center" wrapText="1"/>
    </xf>
    <xf numFmtId="0" fontId="0" fillId="0" borderId="106" xfId="0" applyBorder="1">
      <alignment vertical="center"/>
    </xf>
    <xf numFmtId="0" fontId="6" fillId="5" borderId="106" xfId="0" applyFont="1" applyFill="1" applyBorder="1" applyAlignment="1">
      <alignment horizontal="center" vertical="center" wrapText="1"/>
    </xf>
    <xf numFmtId="0" fontId="114" fillId="3" borderId="107" xfId="0" applyFont="1" applyFill="1" applyBorder="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horizontal="center" vertical="center" wrapText="1"/>
    </xf>
    <xf numFmtId="0" fontId="5" fillId="4" borderId="108" xfId="0" applyFont="1" applyFill="1" applyBorder="1" applyAlignment="1">
      <alignment horizontal="center" vertical="center" wrapText="1"/>
    </xf>
    <xf numFmtId="0" fontId="116" fillId="0" borderId="109" xfId="0" applyFont="1" applyBorder="1" applyAlignment="1">
      <alignment horizontal="justify" vertical="center" wrapText="1"/>
    </xf>
    <xf numFmtId="0" fontId="117" fillId="6" borderId="109" xfId="0" applyFont="1" applyFill="1" applyBorder="1" applyAlignment="1">
      <alignment vertical="center" wrapText="1"/>
    </xf>
    <xf numFmtId="0" fontId="117" fillId="10" borderId="109" xfId="0" applyFont="1" applyFill="1" applyBorder="1" applyAlignment="1">
      <alignment vertical="center" wrapText="1"/>
    </xf>
    <xf numFmtId="0" fontId="118" fillId="3" borderId="110" xfId="0" applyFont="1" applyFill="1" applyBorder="1" applyAlignment="1">
      <alignment horizontal="center" vertical="center" wrapText="1"/>
    </xf>
    <xf numFmtId="0" fontId="119" fillId="6" borderId="111" xfId="0" applyFont="1" applyFill="1" applyBorder="1" applyAlignment="1">
      <alignment horizontal="left" vertical="center" wrapText="1"/>
    </xf>
    <xf numFmtId="0" fontId="119" fillId="6" borderId="111" xfId="0" applyFont="1" applyFill="1" applyBorder="1" applyAlignment="1">
      <alignment horizontal="left" vertical="center"/>
    </xf>
    <xf numFmtId="0" fontId="118" fillId="3" borderId="112" xfId="0" applyFont="1" applyFill="1" applyBorder="1" applyAlignment="1">
      <alignment horizontal="center" vertical="center" wrapText="1"/>
    </xf>
    <xf numFmtId="0" fontId="5" fillId="4" borderId="113" xfId="0" applyFont="1" applyFill="1" applyBorder="1" applyAlignment="1">
      <alignment horizontal="center" vertical="center" wrapText="1"/>
    </xf>
    <xf numFmtId="0" fontId="0" fillId="0" borderId="114" xfId="0" applyBorder="1" applyAlignment="1">
      <alignment vertical="center" wrapText="1"/>
    </xf>
    <xf numFmtId="0" fontId="117" fillId="6" borderId="114" xfId="0" applyFont="1" applyFill="1" applyBorder="1" applyAlignment="1">
      <alignment vertical="center" wrapText="1"/>
    </xf>
    <xf numFmtId="0" fontId="117" fillId="10" borderId="114" xfId="0" applyFont="1" applyFill="1" applyBorder="1" applyAlignment="1">
      <alignment vertical="center" wrapText="1"/>
    </xf>
    <xf numFmtId="0" fontId="6" fillId="5" borderId="115" xfId="0" applyFont="1" applyFill="1" applyBorder="1" applyAlignment="1">
      <alignment horizontal="center" vertical="center" wrapText="1"/>
    </xf>
    <xf numFmtId="0" fontId="117" fillId="10" borderId="116" xfId="0" applyFont="1" applyFill="1" applyBorder="1" applyAlignment="1">
      <alignment vertical="center" wrapText="1"/>
    </xf>
    <xf numFmtId="0" fontId="117" fillId="10" borderId="117"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theme="0" tint="-0.05"/>
        </patternFill>
      </fill>
    </dxf>
    <dxf>
      <font>
        <color theme="0" tint="-0.35"/>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mruColors>
      <color rgb="00FAA9F5"/>
      <color rgb="00202020"/>
      <color rgb="006B6363"/>
      <color rgb="000070C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16.png"/><Relationship Id="rId8" Type="http://schemas.openxmlformats.org/officeDocument/2006/relationships/image" Target="media/image15.png"/><Relationship Id="rId7" Type="http://schemas.openxmlformats.org/officeDocument/2006/relationships/image" Target="media/image14.png"/><Relationship Id="rId6" Type="http://schemas.openxmlformats.org/officeDocument/2006/relationships/image" Target="media/image13.png"/><Relationship Id="rId5" Type="http://schemas.openxmlformats.org/officeDocument/2006/relationships/image" Target="media/image12.png"/><Relationship Id="rId46" Type="http://schemas.openxmlformats.org/officeDocument/2006/relationships/image" Target="media/image51.png"/><Relationship Id="rId45" Type="http://schemas.openxmlformats.org/officeDocument/2006/relationships/image" Target="media/image50.png"/><Relationship Id="rId44" Type="http://schemas.openxmlformats.org/officeDocument/2006/relationships/image" Target="media/image49.png"/><Relationship Id="rId43" Type="http://schemas.openxmlformats.org/officeDocument/2006/relationships/image" Target="media/image48.png"/><Relationship Id="rId42" Type="http://schemas.openxmlformats.org/officeDocument/2006/relationships/image" Target="media/image47.png"/><Relationship Id="rId41" Type="http://schemas.openxmlformats.org/officeDocument/2006/relationships/image" Target="media/image46.png"/><Relationship Id="rId40" Type="http://schemas.openxmlformats.org/officeDocument/2006/relationships/image" Target="media/image45.png"/><Relationship Id="rId4" Type="http://schemas.openxmlformats.org/officeDocument/2006/relationships/image" Target="media/image11.png"/><Relationship Id="rId39" Type="http://schemas.openxmlformats.org/officeDocument/2006/relationships/image" Target="media/image44.png"/><Relationship Id="rId38" Type="http://schemas.openxmlformats.org/officeDocument/2006/relationships/image" Target="media/image43.png"/><Relationship Id="rId37" Type="http://schemas.openxmlformats.org/officeDocument/2006/relationships/image" Target="media/image42.png"/><Relationship Id="rId36" Type="http://schemas.openxmlformats.org/officeDocument/2006/relationships/image" Target="media/image41.png"/><Relationship Id="rId35" Type="http://schemas.openxmlformats.org/officeDocument/2006/relationships/image" Target="media/image40.png"/><Relationship Id="rId34" Type="http://schemas.openxmlformats.org/officeDocument/2006/relationships/image" Target="media/image39.png"/><Relationship Id="rId33" Type="http://schemas.openxmlformats.org/officeDocument/2006/relationships/image" Target="media/image38.png"/><Relationship Id="rId32" Type="http://schemas.openxmlformats.org/officeDocument/2006/relationships/image" Target="media/image37.png"/><Relationship Id="rId31" Type="http://schemas.openxmlformats.org/officeDocument/2006/relationships/image" Target="media/image36.png"/><Relationship Id="rId30" Type="http://schemas.openxmlformats.org/officeDocument/2006/relationships/image" Target="media/image35.png"/><Relationship Id="rId3" Type="http://schemas.openxmlformats.org/officeDocument/2006/relationships/image" Target="media/image10.png"/><Relationship Id="rId29" Type="http://schemas.openxmlformats.org/officeDocument/2006/relationships/image" Target="media/image34.png"/><Relationship Id="rId28" Type="http://schemas.openxmlformats.org/officeDocument/2006/relationships/image" Target="media/image33.png"/><Relationship Id="rId27" Type="http://schemas.openxmlformats.org/officeDocument/2006/relationships/image" Target="media/image32.png"/><Relationship Id="rId26" Type="http://schemas.openxmlformats.org/officeDocument/2006/relationships/image" Target="media/image31.png"/><Relationship Id="rId25" Type="http://schemas.openxmlformats.org/officeDocument/2006/relationships/image" Target="media/image30.png"/><Relationship Id="rId24" Type="http://schemas.openxmlformats.org/officeDocument/2006/relationships/image" Target="media/image29.png"/><Relationship Id="rId23" Type="http://schemas.openxmlformats.org/officeDocument/2006/relationships/image" Target="media/image1.png"/><Relationship Id="rId22" Type="http://schemas.openxmlformats.org/officeDocument/2006/relationships/image" Target="media/image28.png"/><Relationship Id="rId21" Type="http://schemas.openxmlformats.org/officeDocument/2006/relationships/image" Target="media/image27.png"/><Relationship Id="rId20" Type="http://schemas.openxmlformats.org/officeDocument/2006/relationships/image" Target="media/image26.png"/><Relationship Id="rId2" Type="http://schemas.openxmlformats.org/officeDocument/2006/relationships/image" Target="media/image9.png"/><Relationship Id="rId19" Type="http://schemas.openxmlformats.org/officeDocument/2006/relationships/image" Target="media/image25.png"/><Relationship Id="rId18" Type="http://schemas.openxmlformats.org/officeDocument/2006/relationships/image" Target="media/image24.png"/><Relationship Id="rId17" Type="http://schemas.openxmlformats.org/officeDocument/2006/relationships/image" Target="media/image23.png"/><Relationship Id="rId16" Type="http://schemas.openxmlformats.org/officeDocument/2006/relationships/image" Target="media/image22.png"/><Relationship Id="rId15" Type="http://schemas.openxmlformats.org/officeDocument/2006/relationships/image" Target="media/image21.png"/><Relationship Id="rId14" Type="http://schemas.openxmlformats.org/officeDocument/2006/relationships/image" Target="NULL" TargetMode="External"/><Relationship Id="rId13" Type="http://schemas.openxmlformats.org/officeDocument/2006/relationships/image" Target="media/image20.png"/><Relationship Id="rId12" Type="http://schemas.openxmlformats.org/officeDocument/2006/relationships/image" Target="media/image19.png"/><Relationship Id="rId11" Type="http://schemas.openxmlformats.org/officeDocument/2006/relationships/image" Target="media/image18.png"/><Relationship Id="rId10" Type="http://schemas.openxmlformats.org/officeDocument/2006/relationships/image" Target="media/image17.png"/><Relationship Id="rId1" Type="http://schemas.openxmlformats.org/officeDocument/2006/relationships/image" Target="media/image8.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tyles" Target="styles.xml"/><Relationship Id="rId22" Type="http://www.wps.cn/officeDocument/2020/cellImage" Target="cellimag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customXml" Target="../customXml/item2.xml"/><Relationship Id="rId18" Type="http://schemas.openxmlformats.org/officeDocument/2006/relationships/customXml" Target="../customXml/item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5.sv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7.svg"/><Relationship Id="rId1" Type="http://schemas.openxmlformats.org/officeDocument/2006/relationships/image" Target="../media/image6.png"/></Relationships>
</file>

<file path=xl/drawings/_rels/drawing16.xml.rels><?xml version="1.0" encoding="UTF-8" standalone="yes"?>
<Relationships xmlns="http://schemas.openxmlformats.org/package/2006/relationships"><Relationship Id="rId9" Type="http://schemas.openxmlformats.org/officeDocument/2006/relationships/image" Target="../media/image16.png"/><Relationship Id="rId8" Type="http://schemas.openxmlformats.org/officeDocument/2006/relationships/image" Target="../media/image15.png"/><Relationship Id="rId7" Type="http://schemas.openxmlformats.org/officeDocument/2006/relationships/image" Target="../media/image14.png"/><Relationship Id="rId6" Type="http://schemas.openxmlformats.org/officeDocument/2006/relationships/image" Target="../media/image13.png"/><Relationship Id="rId5" Type="http://schemas.openxmlformats.org/officeDocument/2006/relationships/image" Target="../media/image12.png"/><Relationship Id="rId46" Type="http://schemas.openxmlformats.org/officeDocument/2006/relationships/image" Target="../media/image51.png"/><Relationship Id="rId45" Type="http://schemas.openxmlformats.org/officeDocument/2006/relationships/image" Target="../media/image50.png"/><Relationship Id="rId44" Type="http://schemas.openxmlformats.org/officeDocument/2006/relationships/image" Target="../media/image49.png"/><Relationship Id="rId43" Type="http://schemas.openxmlformats.org/officeDocument/2006/relationships/image" Target="../media/image48.png"/><Relationship Id="rId42" Type="http://schemas.openxmlformats.org/officeDocument/2006/relationships/image" Target="../media/image47.png"/><Relationship Id="rId41" Type="http://schemas.openxmlformats.org/officeDocument/2006/relationships/image" Target="../media/image46.png"/><Relationship Id="rId40" Type="http://schemas.openxmlformats.org/officeDocument/2006/relationships/image" Target="../media/image45.png"/><Relationship Id="rId4" Type="http://schemas.openxmlformats.org/officeDocument/2006/relationships/image" Target="../media/image11.png"/><Relationship Id="rId39" Type="http://schemas.openxmlformats.org/officeDocument/2006/relationships/image" Target="../media/image44.png"/><Relationship Id="rId38" Type="http://schemas.openxmlformats.org/officeDocument/2006/relationships/image" Target="../media/image43.png"/><Relationship Id="rId37" Type="http://schemas.openxmlformats.org/officeDocument/2006/relationships/image" Target="../media/image42.png"/><Relationship Id="rId36" Type="http://schemas.openxmlformats.org/officeDocument/2006/relationships/image" Target="../media/image41.png"/><Relationship Id="rId35" Type="http://schemas.openxmlformats.org/officeDocument/2006/relationships/image" Target="../media/image40.png"/><Relationship Id="rId34" Type="http://schemas.openxmlformats.org/officeDocument/2006/relationships/image" Target="../media/image39.png"/><Relationship Id="rId33" Type="http://schemas.openxmlformats.org/officeDocument/2006/relationships/image" Target="../media/image38.png"/><Relationship Id="rId32" Type="http://schemas.openxmlformats.org/officeDocument/2006/relationships/image" Target="../media/image37.png"/><Relationship Id="rId31" Type="http://schemas.openxmlformats.org/officeDocument/2006/relationships/image" Target="../media/image36.png"/><Relationship Id="rId30" Type="http://schemas.openxmlformats.org/officeDocument/2006/relationships/image" Target="../media/image35.png"/><Relationship Id="rId3" Type="http://schemas.openxmlformats.org/officeDocument/2006/relationships/image" Target="../media/image10.png"/><Relationship Id="rId29" Type="http://schemas.openxmlformats.org/officeDocument/2006/relationships/image" Target="../media/image34.png"/><Relationship Id="rId28" Type="http://schemas.openxmlformats.org/officeDocument/2006/relationships/image" Target="../media/image33.png"/><Relationship Id="rId27" Type="http://schemas.openxmlformats.org/officeDocument/2006/relationships/image" Target="../media/image32.png"/><Relationship Id="rId26" Type="http://schemas.openxmlformats.org/officeDocument/2006/relationships/image" Target="../media/image31.png"/><Relationship Id="rId25" Type="http://schemas.openxmlformats.org/officeDocument/2006/relationships/image" Target="../media/image30.png"/><Relationship Id="rId24" Type="http://schemas.openxmlformats.org/officeDocument/2006/relationships/image" Target="../media/image29.png"/><Relationship Id="rId23" Type="http://schemas.openxmlformats.org/officeDocument/2006/relationships/image" Target="../media/image1.png"/><Relationship Id="rId22" Type="http://schemas.openxmlformats.org/officeDocument/2006/relationships/image" Target="../media/image28.png"/><Relationship Id="rId21" Type="http://schemas.openxmlformats.org/officeDocument/2006/relationships/image" Target="../media/image27.png"/><Relationship Id="rId20" Type="http://schemas.openxmlformats.org/officeDocument/2006/relationships/image" Target="../media/image26.png"/><Relationship Id="rId2" Type="http://schemas.openxmlformats.org/officeDocument/2006/relationships/image" Target="../media/image9.png"/><Relationship Id="rId19" Type="http://schemas.openxmlformats.org/officeDocument/2006/relationships/image" Target="../media/image25.png"/><Relationship Id="rId18" Type="http://schemas.openxmlformats.org/officeDocument/2006/relationships/image" Target="../media/image24.png"/><Relationship Id="rId17" Type="http://schemas.openxmlformats.org/officeDocument/2006/relationships/image" Target="../media/image23.png"/><Relationship Id="rId16" Type="http://schemas.openxmlformats.org/officeDocument/2006/relationships/image" Target="../media/image22.png"/><Relationship Id="rId15" Type="http://schemas.openxmlformats.org/officeDocument/2006/relationships/image" Target="../media/image21.png"/><Relationship Id="rId14" Type="http://schemas.openxmlformats.org/officeDocument/2006/relationships/image" Target="NULL" TargetMode="External"/><Relationship Id="rId13" Type="http://schemas.openxmlformats.org/officeDocument/2006/relationships/image" Target="../media/image20.png"/><Relationship Id="rId12" Type="http://schemas.openxmlformats.org/officeDocument/2006/relationships/image" Target="../media/image19.png"/><Relationship Id="rId11" Type="http://schemas.openxmlformats.org/officeDocument/2006/relationships/image" Target="../media/image18.png"/><Relationship Id="rId10" Type="http://schemas.openxmlformats.org/officeDocument/2006/relationships/image" Target="../media/image17.png"/><Relationship Id="rId1" Type="http://schemas.openxmlformats.org/officeDocument/2006/relationships/image" Target="../media/image8.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1</xdr:row>
      <xdr:rowOff>41275</xdr:rowOff>
    </xdr:from>
    <xdr:to>
      <xdr:col>12</xdr:col>
      <xdr:colOff>33020</xdr:colOff>
      <xdr:row>2</xdr:row>
      <xdr:rowOff>1905</xdr:rowOff>
    </xdr:to>
    <xdr:sp>
      <xdr:nvSpPr>
        <xdr:cNvPr id="2" name="矩形 1"/>
        <xdr:cNvSpPr/>
      </xdr:nvSpPr>
      <xdr:spPr>
        <a:xfrm>
          <a:off x="635" y="676275"/>
          <a:ext cx="13181330" cy="227330"/>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605790</xdr:colOff>
      <xdr:row>1</xdr:row>
      <xdr:rowOff>12700</xdr:rowOff>
    </xdr:from>
    <xdr:to>
      <xdr:col>26</xdr:col>
      <xdr:colOff>31750</xdr:colOff>
      <xdr:row>1</xdr:row>
      <xdr:rowOff>203200</xdr:rowOff>
    </xdr:to>
    <xdr:sp>
      <xdr:nvSpPr>
        <xdr:cNvPr id="2" name="矩形 1"/>
        <xdr:cNvSpPr/>
      </xdr:nvSpPr>
      <xdr:spPr>
        <a:xfrm>
          <a:off x="605790" y="787400"/>
          <a:ext cx="15389225" cy="190500"/>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0</xdr:colOff>
      <xdr:row>0</xdr:row>
      <xdr:rowOff>749935</xdr:rowOff>
    </xdr:from>
    <xdr:to>
      <xdr:col>0</xdr:col>
      <xdr:colOff>29845</xdr:colOff>
      <xdr:row>1</xdr:row>
      <xdr:rowOff>143510</xdr:rowOff>
    </xdr:to>
    <xdr:sp>
      <xdr:nvSpPr>
        <xdr:cNvPr id="3" name="矩形 2"/>
        <xdr:cNvSpPr/>
      </xdr:nvSpPr>
      <xdr:spPr>
        <a:xfrm>
          <a:off x="0" y="749935"/>
          <a:ext cx="29845" cy="16827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editAs="oneCell">
    <xdr:from>
      <xdr:col>10</xdr:col>
      <xdr:colOff>792480</xdr:colOff>
      <xdr:row>22</xdr:row>
      <xdr:rowOff>716280</xdr:rowOff>
    </xdr:from>
    <xdr:to>
      <xdr:col>11</xdr:col>
      <xdr:colOff>152400</xdr:colOff>
      <xdr:row>22</xdr:row>
      <xdr:rowOff>1089660</xdr:rowOff>
    </xdr:to>
    <xdr:pic>
      <xdr:nvPicPr>
        <xdr:cNvPr id="28" name="ID_8D1D66EF3C8E4C4DA2C499BD98760604" descr="5"/>
        <xdr:cNvPicPr>
          <a:picLocks noChangeAspect="1"/>
        </xdr:cNvPicPr>
      </xdr:nvPicPr>
      <xdr:blipFill>
        <a:blip r:embed="rId1"/>
        <a:stretch>
          <a:fillRect/>
        </a:stretch>
      </xdr:blipFill>
      <xdr:spPr>
        <a:xfrm>
          <a:off x="6515100" y="11828780"/>
          <a:ext cx="392430" cy="37338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614680</xdr:colOff>
      <xdr:row>0</xdr:row>
      <xdr:rowOff>734060</xdr:rowOff>
    </xdr:from>
    <xdr:to>
      <xdr:col>25</xdr:col>
      <xdr:colOff>1053465</xdr:colOff>
      <xdr:row>1</xdr:row>
      <xdr:rowOff>151130</xdr:rowOff>
    </xdr:to>
    <xdr:sp>
      <xdr:nvSpPr>
        <xdr:cNvPr id="2" name="矩形 1"/>
        <xdr:cNvSpPr/>
      </xdr:nvSpPr>
      <xdr:spPr>
        <a:xfrm>
          <a:off x="614680" y="734060"/>
          <a:ext cx="15348585" cy="191770"/>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0</xdr:colOff>
      <xdr:row>0</xdr:row>
      <xdr:rowOff>749935</xdr:rowOff>
    </xdr:from>
    <xdr:to>
      <xdr:col>0</xdr:col>
      <xdr:colOff>29845</xdr:colOff>
      <xdr:row>1</xdr:row>
      <xdr:rowOff>143510</xdr:rowOff>
    </xdr:to>
    <xdr:sp>
      <xdr:nvSpPr>
        <xdr:cNvPr id="3" name="矩形 2"/>
        <xdr:cNvSpPr/>
      </xdr:nvSpPr>
      <xdr:spPr>
        <a:xfrm>
          <a:off x="0" y="749935"/>
          <a:ext cx="29845" cy="16827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65405</xdr:colOff>
      <xdr:row>19</xdr:row>
      <xdr:rowOff>17780</xdr:rowOff>
    </xdr:from>
    <xdr:to>
      <xdr:col>2</xdr:col>
      <xdr:colOff>608330</xdr:colOff>
      <xdr:row>21</xdr:row>
      <xdr:rowOff>196215</xdr:rowOff>
    </xdr:to>
    <xdr:grpSp>
      <xdr:nvGrpSpPr>
        <xdr:cNvPr id="16" name="组合 15"/>
        <xdr:cNvGrpSpPr/>
      </xdr:nvGrpSpPr>
      <xdr:grpSpPr>
        <a:xfrm>
          <a:off x="1090295" y="10349230"/>
          <a:ext cx="542925" cy="597535"/>
          <a:chOff x="3473" y="18174"/>
          <a:chExt cx="800" cy="852"/>
        </a:xfrm>
      </xdr:grpSpPr>
      <xdr:grpSp>
        <xdr:nvGrpSpPr>
          <xdr:cNvPr id="11" name="组合 10"/>
          <xdr:cNvGrpSpPr/>
        </xdr:nvGrpSpPr>
        <xdr:grpSpPr>
          <a:xfrm>
            <a:off x="3473" y="18174"/>
            <a:ext cx="801" cy="853"/>
            <a:chOff x="2083" y="16933"/>
            <a:chExt cx="1458" cy="1458"/>
          </a:xfrm>
        </xdr:grpSpPr>
        <xdr:sp>
          <xdr:nvSpPr>
            <xdr:cNvPr id="12" name="矩形 11"/>
            <xdr:cNvSpPr/>
          </xdr:nvSpPr>
          <xdr:spPr>
            <a:xfrm>
              <a:off x="2083" y="16933"/>
              <a:ext cx="1458" cy="1458"/>
            </a:xfrm>
            <a:prstGeom prst="rect">
              <a:avLst/>
            </a:prstGeom>
            <a:gradFill>
              <a:gsLst>
                <a:gs pos="0">
                  <a:srgbClr val="202020"/>
                </a:gs>
                <a:gs pos="100000">
                  <a:srgbClr val="6B6363">
                    <a:lumMod val="98000"/>
                  </a:srgbClr>
                </a:gs>
              </a:gsLst>
              <a:lin ang="5400000" scaled="0"/>
            </a:gradFill>
            <a:ln w="6350" cap="sq" cmpd="sng">
              <a:solidFill>
                <a:schemeClr val="bg1"/>
              </a:solidFill>
              <a:prstDash val="solid"/>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13" name="梯形 12"/>
            <xdr:cNvSpPr/>
          </xdr:nvSpPr>
          <xdr:spPr>
            <a:xfrm>
              <a:off x="2245" y="17834"/>
              <a:ext cx="1133" cy="381"/>
            </a:xfrm>
            <a:prstGeom prst="trapezoid">
              <a:avLst>
                <a:gd name="adj" fmla="val 77215"/>
              </a:avLst>
            </a:prstGeom>
            <a:noFill/>
            <a:ln w="31750" cmpd="thickThin">
              <a:solidFill>
                <a:schemeClr val="bg1"/>
              </a:solidFill>
              <a:prstDash val="solid"/>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pic>
        <xdr:nvPicPr>
          <xdr:cNvPr id="15" name="图片 14" descr="研究创新"/>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3574" y="18240"/>
            <a:ext cx="599" cy="592"/>
          </a:xfrm>
          <a:prstGeom prst="rect">
            <a:avLst/>
          </a:prstGeom>
          <a:effectLst>
            <a:outerShdw blurRad="50800" dist="38100" dir="5400000" sx="105000" sy="105000" algn="tl" rotWithShape="0">
              <a:prstClr val="black">
                <a:alpha val="50000"/>
              </a:prstClr>
            </a:outerShdw>
          </a:effectLst>
        </xdr:spPr>
      </xdr:pic>
    </xdr:grp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572770</xdr:colOff>
      <xdr:row>0</xdr:row>
      <xdr:rowOff>734060</xdr:rowOff>
    </xdr:from>
    <xdr:to>
      <xdr:col>26</xdr:col>
      <xdr:colOff>47625</xdr:colOff>
      <xdr:row>2</xdr:row>
      <xdr:rowOff>27305</xdr:rowOff>
    </xdr:to>
    <xdr:sp>
      <xdr:nvSpPr>
        <xdr:cNvPr id="2" name="矩形 1"/>
        <xdr:cNvSpPr/>
      </xdr:nvSpPr>
      <xdr:spPr>
        <a:xfrm>
          <a:off x="572770" y="734060"/>
          <a:ext cx="15538450" cy="22034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0</xdr:colOff>
      <xdr:row>0</xdr:row>
      <xdr:rowOff>749935</xdr:rowOff>
    </xdr:from>
    <xdr:to>
      <xdr:col>0</xdr:col>
      <xdr:colOff>29845</xdr:colOff>
      <xdr:row>1</xdr:row>
      <xdr:rowOff>143510</xdr:rowOff>
    </xdr:to>
    <xdr:sp>
      <xdr:nvSpPr>
        <xdr:cNvPr id="3" name="矩形 2"/>
        <xdr:cNvSpPr/>
      </xdr:nvSpPr>
      <xdr:spPr>
        <a:xfrm>
          <a:off x="0" y="749935"/>
          <a:ext cx="29845" cy="16827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572770</xdr:colOff>
      <xdr:row>0</xdr:row>
      <xdr:rowOff>734060</xdr:rowOff>
    </xdr:from>
    <xdr:to>
      <xdr:col>26</xdr:col>
      <xdr:colOff>10795</xdr:colOff>
      <xdr:row>1</xdr:row>
      <xdr:rowOff>151130</xdr:rowOff>
    </xdr:to>
    <xdr:sp>
      <xdr:nvSpPr>
        <xdr:cNvPr id="2" name="矩形 1"/>
        <xdr:cNvSpPr/>
      </xdr:nvSpPr>
      <xdr:spPr>
        <a:xfrm>
          <a:off x="572770" y="734060"/>
          <a:ext cx="15210155" cy="191770"/>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0</xdr:colOff>
      <xdr:row>0</xdr:row>
      <xdr:rowOff>749935</xdr:rowOff>
    </xdr:from>
    <xdr:to>
      <xdr:col>0</xdr:col>
      <xdr:colOff>29845</xdr:colOff>
      <xdr:row>1</xdr:row>
      <xdr:rowOff>143510</xdr:rowOff>
    </xdr:to>
    <xdr:sp>
      <xdr:nvSpPr>
        <xdr:cNvPr id="3" name="矩形 2"/>
        <xdr:cNvSpPr/>
      </xdr:nvSpPr>
      <xdr:spPr>
        <a:xfrm>
          <a:off x="0" y="749935"/>
          <a:ext cx="29845" cy="16827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47625</xdr:colOff>
      <xdr:row>19</xdr:row>
      <xdr:rowOff>72390</xdr:rowOff>
    </xdr:from>
    <xdr:to>
      <xdr:col>2</xdr:col>
      <xdr:colOff>551815</xdr:colOff>
      <xdr:row>21</xdr:row>
      <xdr:rowOff>185420</xdr:rowOff>
    </xdr:to>
    <xdr:grpSp>
      <xdr:nvGrpSpPr>
        <xdr:cNvPr id="4" name="组合 3"/>
        <xdr:cNvGrpSpPr/>
      </xdr:nvGrpSpPr>
      <xdr:grpSpPr>
        <a:xfrm>
          <a:off x="1072515" y="10403840"/>
          <a:ext cx="504190" cy="532130"/>
          <a:chOff x="2083" y="16933"/>
          <a:chExt cx="1458" cy="1458"/>
        </a:xfrm>
      </xdr:grpSpPr>
      <xdr:sp>
        <xdr:nvSpPr>
          <xdr:cNvPr id="5" name="矩形 4"/>
          <xdr:cNvSpPr/>
        </xdr:nvSpPr>
        <xdr:spPr>
          <a:xfrm>
            <a:off x="2083" y="16933"/>
            <a:ext cx="1458" cy="1458"/>
          </a:xfrm>
          <a:prstGeom prst="rect">
            <a:avLst/>
          </a:prstGeom>
          <a:gradFill>
            <a:gsLst>
              <a:gs pos="0">
                <a:srgbClr val="202020"/>
              </a:gs>
              <a:gs pos="100000">
                <a:srgbClr val="6B6363">
                  <a:lumMod val="98000"/>
                </a:srgbClr>
              </a:gs>
            </a:gsLst>
            <a:lin ang="5400000" scaled="0"/>
          </a:gradFill>
          <a:ln w="6350" cap="sq" cmpd="sng">
            <a:solidFill>
              <a:schemeClr val="bg1"/>
            </a:solidFill>
            <a:prstDash val="solid"/>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6" name="梯形 5"/>
          <xdr:cNvSpPr/>
        </xdr:nvSpPr>
        <xdr:spPr>
          <a:xfrm>
            <a:off x="2245" y="17834"/>
            <a:ext cx="1133" cy="381"/>
          </a:xfrm>
          <a:prstGeom prst="trapezoid">
            <a:avLst>
              <a:gd name="adj" fmla="val 77215"/>
            </a:avLst>
          </a:prstGeom>
          <a:noFill/>
          <a:ln w="31750" cmpd="thickThin">
            <a:solidFill>
              <a:schemeClr val="bg1"/>
            </a:solidFill>
            <a:prstDash val="solid"/>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editAs="oneCell">
    <xdr:from>
      <xdr:col>2</xdr:col>
      <xdr:colOff>99060</xdr:colOff>
      <xdr:row>19</xdr:row>
      <xdr:rowOff>97155</xdr:rowOff>
    </xdr:from>
    <xdr:to>
      <xdr:col>2</xdr:col>
      <xdr:colOff>502285</xdr:colOff>
      <xdr:row>21</xdr:row>
      <xdr:rowOff>74295</xdr:rowOff>
    </xdr:to>
    <xdr:pic>
      <xdr:nvPicPr>
        <xdr:cNvPr id="9" name="图片 8" descr="火"/>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1123950" y="10428605"/>
          <a:ext cx="403225" cy="396240"/>
        </a:xfrm>
        <a:prstGeom prst="rect">
          <a:avLst/>
        </a:prstGeom>
        <a:effectLst>
          <a:outerShdw blurRad="127000" dist="38100" dir="2700000" algn="tl" rotWithShape="0">
            <a:prstClr val="black">
              <a:alpha val="80000"/>
            </a:prstClr>
          </a:outerShdw>
        </a:effectLst>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572770</xdr:colOff>
      <xdr:row>0</xdr:row>
      <xdr:rowOff>734060</xdr:rowOff>
    </xdr:from>
    <xdr:to>
      <xdr:col>25</xdr:col>
      <xdr:colOff>609600</xdr:colOff>
      <xdr:row>1</xdr:row>
      <xdr:rowOff>151130</xdr:rowOff>
    </xdr:to>
    <xdr:sp>
      <xdr:nvSpPr>
        <xdr:cNvPr id="2" name="矩形 1"/>
        <xdr:cNvSpPr/>
      </xdr:nvSpPr>
      <xdr:spPr>
        <a:xfrm>
          <a:off x="572770" y="734060"/>
          <a:ext cx="15187930" cy="191770"/>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0</xdr:colOff>
      <xdr:row>0</xdr:row>
      <xdr:rowOff>749935</xdr:rowOff>
    </xdr:from>
    <xdr:to>
      <xdr:col>0</xdr:col>
      <xdr:colOff>29845</xdr:colOff>
      <xdr:row>1</xdr:row>
      <xdr:rowOff>143510</xdr:rowOff>
    </xdr:to>
    <xdr:sp>
      <xdr:nvSpPr>
        <xdr:cNvPr id="3" name="矩形 2"/>
        <xdr:cNvSpPr/>
      </xdr:nvSpPr>
      <xdr:spPr>
        <a:xfrm>
          <a:off x="0" y="749935"/>
          <a:ext cx="29845" cy="16827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572770</xdr:colOff>
      <xdr:row>0</xdr:row>
      <xdr:rowOff>734060</xdr:rowOff>
    </xdr:from>
    <xdr:to>
      <xdr:col>26</xdr:col>
      <xdr:colOff>12700</xdr:colOff>
      <xdr:row>1</xdr:row>
      <xdr:rowOff>151130</xdr:rowOff>
    </xdr:to>
    <xdr:sp>
      <xdr:nvSpPr>
        <xdr:cNvPr id="2" name="矩形 1"/>
        <xdr:cNvSpPr/>
      </xdr:nvSpPr>
      <xdr:spPr>
        <a:xfrm>
          <a:off x="572770" y="734060"/>
          <a:ext cx="15212060" cy="191770"/>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0</xdr:colOff>
      <xdr:row>0</xdr:row>
      <xdr:rowOff>749935</xdr:rowOff>
    </xdr:from>
    <xdr:to>
      <xdr:col>0</xdr:col>
      <xdr:colOff>29845</xdr:colOff>
      <xdr:row>1</xdr:row>
      <xdr:rowOff>143510</xdr:rowOff>
    </xdr:to>
    <xdr:sp>
      <xdr:nvSpPr>
        <xdr:cNvPr id="3" name="矩形 2"/>
        <xdr:cNvSpPr/>
      </xdr:nvSpPr>
      <xdr:spPr>
        <a:xfrm>
          <a:off x="0" y="749935"/>
          <a:ext cx="29845" cy="16827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572770</xdr:colOff>
      <xdr:row>0</xdr:row>
      <xdr:rowOff>734060</xdr:rowOff>
    </xdr:from>
    <xdr:to>
      <xdr:col>25</xdr:col>
      <xdr:colOff>609600</xdr:colOff>
      <xdr:row>1</xdr:row>
      <xdr:rowOff>151130</xdr:rowOff>
    </xdr:to>
    <xdr:sp>
      <xdr:nvSpPr>
        <xdr:cNvPr id="2" name="矩形 1"/>
        <xdr:cNvSpPr/>
      </xdr:nvSpPr>
      <xdr:spPr>
        <a:xfrm>
          <a:off x="572770" y="734060"/>
          <a:ext cx="15187930" cy="191770"/>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0</xdr:colOff>
      <xdr:row>0</xdr:row>
      <xdr:rowOff>749935</xdr:rowOff>
    </xdr:from>
    <xdr:to>
      <xdr:col>0</xdr:col>
      <xdr:colOff>29845</xdr:colOff>
      <xdr:row>1</xdr:row>
      <xdr:rowOff>143510</xdr:rowOff>
    </xdr:to>
    <xdr:sp>
      <xdr:nvSpPr>
        <xdr:cNvPr id="3" name="矩形 2"/>
        <xdr:cNvSpPr/>
      </xdr:nvSpPr>
      <xdr:spPr>
        <a:xfrm>
          <a:off x="0" y="749935"/>
          <a:ext cx="29845" cy="16827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572770</xdr:colOff>
      <xdr:row>0</xdr:row>
      <xdr:rowOff>734060</xdr:rowOff>
    </xdr:from>
    <xdr:to>
      <xdr:col>25</xdr:col>
      <xdr:colOff>609600</xdr:colOff>
      <xdr:row>1</xdr:row>
      <xdr:rowOff>151130</xdr:rowOff>
    </xdr:to>
    <xdr:sp>
      <xdr:nvSpPr>
        <xdr:cNvPr id="2" name="矩形 1"/>
        <xdr:cNvSpPr/>
      </xdr:nvSpPr>
      <xdr:spPr>
        <a:xfrm>
          <a:off x="572770" y="734060"/>
          <a:ext cx="15032355" cy="191770"/>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0</xdr:colOff>
      <xdr:row>0</xdr:row>
      <xdr:rowOff>749935</xdr:rowOff>
    </xdr:from>
    <xdr:to>
      <xdr:col>0</xdr:col>
      <xdr:colOff>29845</xdr:colOff>
      <xdr:row>1</xdr:row>
      <xdr:rowOff>143510</xdr:rowOff>
    </xdr:to>
    <xdr:sp>
      <xdr:nvSpPr>
        <xdr:cNvPr id="3" name="矩形 2"/>
        <xdr:cNvSpPr/>
      </xdr:nvSpPr>
      <xdr:spPr>
        <a:xfrm>
          <a:off x="0" y="749935"/>
          <a:ext cx="29845" cy="16827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7</xdr:col>
      <xdr:colOff>40005</xdr:colOff>
      <xdr:row>19</xdr:row>
      <xdr:rowOff>58420</xdr:rowOff>
    </xdr:from>
    <xdr:to>
      <xdr:col>7</xdr:col>
      <xdr:colOff>544195</xdr:colOff>
      <xdr:row>21</xdr:row>
      <xdr:rowOff>171450</xdr:rowOff>
    </xdr:to>
    <xdr:grpSp>
      <xdr:nvGrpSpPr>
        <xdr:cNvPr id="11" name="组合 10"/>
        <xdr:cNvGrpSpPr/>
      </xdr:nvGrpSpPr>
      <xdr:grpSpPr>
        <a:xfrm>
          <a:off x="4131945" y="10389870"/>
          <a:ext cx="504190" cy="532130"/>
          <a:chOff x="2083" y="16933"/>
          <a:chExt cx="1458" cy="1458"/>
        </a:xfrm>
      </xdr:grpSpPr>
      <xdr:sp>
        <xdr:nvSpPr>
          <xdr:cNvPr id="6" name="矩形 5"/>
          <xdr:cNvSpPr/>
        </xdr:nvSpPr>
        <xdr:spPr>
          <a:xfrm>
            <a:off x="2083" y="16933"/>
            <a:ext cx="1458" cy="1458"/>
          </a:xfrm>
          <a:prstGeom prst="rect">
            <a:avLst/>
          </a:prstGeom>
          <a:gradFill>
            <a:gsLst>
              <a:gs pos="0">
                <a:srgbClr val="202020"/>
              </a:gs>
              <a:gs pos="100000">
                <a:srgbClr val="6B6363">
                  <a:lumMod val="98000"/>
                </a:srgbClr>
              </a:gs>
            </a:gsLst>
            <a:lin ang="5400000" scaled="0"/>
          </a:gradFill>
          <a:ln w="6350" cap="sq" cmpd="sng">
            <a:solidFill>
              <a:schemeClr val="bg1"/>
            </a:solidFill>
            <a:prstDash val="solid"/>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sp>
        <xdr:nvSpPr>
          <xdr:cNvPr id="7" name="梯形 6"/>
          <xdr:cNvSpPr/>
        </xdr:nvSpPr>
        <xdr:spPr>
          <a:xfrm>
            <a:off x="2245" y="17834"/>
            <a:ext cx="1133" cy="381"/>
          </a:xfrm>
          <a:prstGeom prst="trapezoid">
            <a:avLst>
              <a:gd name="adj" fmla="val 77215"/>
            </a:avLst>
          </a:prstGeom>
          <a:noFill/>
          <a:ln w="31750" cmpd="thickThin">
            <a:solidFill>
              <a:schemeClr val="bg1"/>
            </a:solidFill>
            <a:prstDash val="solid"/>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pic>
        <xdr:nvPicPr>
          <xdr:cNvPr id="10" name="图片 9" descr="雪花"/>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2285" y="17087"/>
            <a:ext cx="1054" cy="1052"/>
          </a:xfrm>
          <a:prstGeom prst="rect">
            <a:avLst/>
          </a:prstGeom>
          <a:effectLst>
            <a:outerShdw blurRad="50800" dist="38100" dir="2700000" algn="tl" rotWithShape="0">
              <a:prstClr val="black">
                <a:alpha val="70000"/>
              </a:prstClr>
            </a:outerShdw>
          </a:effectLst>
        </xdr:spPr>
      </xdr:pic>
    </xdr:grp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572770</xdr:colOff>
      <xdr:row>0</xdr:row>
      <xdr:rowOff>734060</xdr:rowOff>
    </xdr:from>
    <xdr:to>
      <xdr:col>25</xdr:col>
      <xdr:colOff>609600</xdr:colOff>
      <xdr:row>1</xdr:row>
      <xdr:rowOff>151130</xdr:rowOff>
    </xdr:to>
    <xdr:sp>
      <xdr:nvSpPr>
        <xdr:cNvPr id="2" name="矩形 1"/>
        <xdr:cNvSpPr/>
      </xdr:nvSpPr>
      <xdr:spPr>
        <a:xfrm>
          <a:off x="572770" y="734060"/>
          <a:ext cx="15187930" cy="191770"/>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0</xdr:colOff>
      <xdr:row>0</xdr:row>
      <xdr:rowOff>749935</xdr:rowOff>
    </xdr:from>
    <xdr:to>
      <xdr:col>0</xdr:col>
      <xdr:colOff>29845</xdr:colOff>
      <xdr:row>1</xdr:row>
      <xdr:rowOff>143510</xdr:rowOff>
    </xdr:to>
    <xdr:sp>
      <xdr:nvSpPr>
        <xdr:cNvPr id="8" name="矩形 7"/>
        <xdr:cNvSpPr/>
      </xdr:nvSpPr>
      <xdr:spPr>
        <a:xfrm>
          <a:off x="0" y="749935"/>
          <a:ext cx="29845" cy="16827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0</xdr:col>
      <xdr:colOff>572770</xdr:colOff>
      <xdr:row>0</xdr:row>
      <xdr:rowOff>734060</xdr:rowOff>
    </xdr:from>
    <xdr:to>
      <xdr:col>25</xdr:col>
      <xdr:colOff>609600</xdr:colOff>
      <xdr:row>1</xdr:row>
      <xdr:rowOff>151130</xdr:rowOff>
    </xdr:to>
    <xdr:sp>
      <xdr:nvSpPr>
        <xdr:cNvPr id="2" name="矩形 1"/>
        <xdr:cNvSpPr/>
      </xdr:nvSpPr>
      <xdr:spPr>
        <a:xfrm>
          <a:off x="572770" y="734060"/>
          <a:ext cx="15187930" cy="191770"/>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0</xdr:colOff>
      <xdr:row>0</xdr:row>
      <xdr:rowOff>749935</xdr:rowOff>
    </xdr:from>
    <xdr:to>
      <xdr:col>0</xdr:col>
      <xdr:colOff>29845</xdr:colOff>
      <xdr:row>1</xdr:row>
      <xdr:rowOff>143510</xdr:rowOff>
    </xdr:to>
    <xdr:sp>
      <xdr:nvSpPr>
        <xdr:cNvPr id="3" name="矩形 2"/>
        <xdr:cNvSpPr/>
      </xdr:nvSpPr>
      <xdr:spPr>
        <a:xfrm>
          <a:off x="0" y="749935"/>
          <a:ext cx="29845" cy="16827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572770</xdr:colOff>
      <xdr:row>0</xdr:row>
      <xdr:rowOff>734060</xdr:rowOff>
    </xdr:from>
    <xdr:to>
      <xdr:col>25</xdr:col>
      <xdr:colOff>941070</xdr:colOff>
      <xdr:row>1</xdr:row>
      <xdr:rowOff>151130</xdr:rowOff>
    </xdr:to>
    <xdr:sp>
      <xdr:nvSpPr>
        <xdr:cNvPr id="2" name="矩形 1"/>
        <xdr:cNvSpPr/>
      </xdr:nvSpPr>
      <xdr:spPr>
        <a:xfrm>
          <a:off x="572770" y="734060"/>
          <a:ext cx="15720695" cy="191770"/>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0</xdr:colOff>
      <xdr:row>0</xdr:row>
      <xdr:rowOff>749935</xdr:rowOff>
    </xdr:from>
    <xdr:to>
      <xdr:col>0</xdr:col>
      <xdr:colOff>29845</xdr:colOff>
      <xdr:row>1</xdr:row>
      <xdr:rowOff>143510</xdr:rowOff>
    </xdr:to>
    <xdr:sp>
      <xdr:nvSpPr>
        <xdr:cNvPr id="3" name="矩形 2"/>
        <xdr:cNvSpPr/>
      </xdr:nvSpPr>
      <xdr:spPr>
        <a:xfrm>
          <a:off x="0" y="749935"/>
          <a:ext cx="29845" cy="16827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572770</xdr:colOff>
      <xdr:row>1</xdr:row>
      <xdr:rowOff>8255</xdr:rowOff>
    </xdr:from>
    <xdr:to>
      <xdr:col>26</xdr:col>
      <xdr:colOff>33655</xdr:colOff>
      <xdr:row>2</xdr:row>
      <xdr:rowOff>15240</xdr:rowOff>
    </xdr:to>
    <xdr:sp>
      <xdr:nvSpPr>
        <xdr:cNvPr id="2" name="矩形 1"/>
        <xdr:cNvSpPr/>
      </xdr:nvSpPr>
      <xdr:spPr>
        <a:xfrm>
          <a:off x="572770" y="782955"/>
          <a:ext cx="15424150" cy="222250"/>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0</xdr:colOff>
      <xdr:row>0</xdr:row>
      <xdr:rowOff>749935</xdr:rowOff>
    </xdr:from>
    <xdr:to>
      <xdr:col>0</xdr:col>
      <xdr:colOff>29845</xdr:colOff>
      <xdr:row>1</xdr:row>
      <xdr:rowOff>143510</xdr:rowOff>
    </xdr:to>
    <xdr:sp>
      <xdr:nvSpPr>
        <xdr:cNvPr id="3" name="矩形 2"/>
        <xdr:cNvSpPr/>
      </xdr:nvSpPr>
      <xdr:spPr>
        <a:xfrm>
          <a:off x="0" y="749935"/>
          <a:ext cx="29845" cy="16827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0</xdr:col>
      <xdr:colOff>572770</xdr:colOff>
      <xdr:row>0</xdr:row>
      <xdr:rowOff>734060</xdr:rowOff>
    </xdr:from>
    <xdr:to>
      <xdr:col>25</xdr:col>
      <xdr:colOff>609600</xdr:colOff>
      <xdr:row>1</xdr:row>
      <xdr:rowOff>151130</xdr:rowOff>
    </xdr:to>
    <xdr:sp>
      <xdr:nvSpPr>
        <xdr:cNvPr id="2" name="矩形 1"/>
        <xdr:cNvSpPr/>
      </xdr:nvSpPr>
      <xdr:spPr>
        <a:xfrm>
          <a:off x="572770" y="734060"/>
          <a:ext cx="15032355" cy="191770"/>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0</xdr:colOff>
      <xdr:row>0</xdr:row>
      <xdr:rowOff>749935</xdr:rowOff>
    </xdr:from>
    <xdr:to>
      <xdr:col>0</xdr:col>
      <xdr:colOff>29845</xdr:colOff>
      <xdr:row>1</xdr:row>
      <xdr:rowOff>143510</xdr:rowOff>
    </xdr:to>
    <xdr:sp>
      <xdr:nvSpPr>
        <xdr:cNvPr id="3" name="矩形 2"/>
        <xdr:cNvSpPr/>
      </xdr:nvSpPr>
      <xdr:spPr>
        <a:xfrm>
          <a:off x="0" y="749935"/>
          <a:ext cx="29845" cy="16827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11</xdr:col>
      <xdr:colOff>572770</xdr:colOff>
      <xdr:row>0</xdr:row>
      <xdr:rowOff>734060</xdr:rowOff>
    </xdr:from>
    <xdr:to>
      <xdr:col>12</xdr:col>
      <xdr:colOff>17145</xdr:colOff>
      <xdr:row>1</xdr:row>
      <xdr:rowOff>151130</xdr:rowOff>
    </xdr:to>
    <xdr:sp>
      <xdr:nvSpPr>
        <xdr:cNvPr id="2" name="矩形 1"/>
        <xdr:cNvSpPr/>
      </xdr:nvSpPr>
      <xdr:spPr>
        <a:xfrm>
          <a:off x="6840220" y="734060"/>
          <a:ext cx="65405" cy="191770"/>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225425</xdr:colOff>
      <xdr:row>5</xdr:row>
      <xdr:rowOff>6985</xdr:rowOff>
    </xdr:from>
    <xdr:to>
      <xdr:col>4</xdr:col>
      <xdr:colOff>421005</xdr:colOff>
      <xdr:row>5</xdr:row>
      <xdr:rowOff>6985</xdr:rowOff>
    </xdr:to>
    <xdr:cxnSp>
      <xdr:nvCxnSpPr>
        <xdr:cNvPr id="3" name="直接连接符 2"/>
        <xdr:cNvCxnSpPr/>
      </xdr:nvCxnSpPr>
      <xdr:spPr>
        <a:xfrm>
          <a:off x="225425" y="2343785"/>
          <a:ext cx="2723515"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6</xdr:row>
      <xdr:rowOff>10160</xdr:rowOff>
    </xdr:from>
    <xdr:to>
      <xdr:col>4</xdr:col>
      <xdr:colOff>421005</xdr:colOff>
      <xdr:row>6</xdr:row>
      <xdr:rowOff>10160</xdr:rowOff>
    </xdr:to>
    <xdr:cxnSp>
      <xdr:nvCxnSpPr>
        <xdr:cNvPr id="4" name="直接连接符 3"/>
        <xdr:cNvCxnSpPr/>
      </xdr:nvCxnSpPr>
      <xdr:spPr>
        <a:xfrm>
          <a:off x="225425" y="323596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9</xdr:row>
      <xdr:rowOff>10795</xdr:rowOff>
    </xdr:from>
    <xdr:to>
      <xdr:col>4</xdr:col>
      <xdr:colOff>421005</xdr:colOff>
      <xdr:row>9</xdr:row>
      <xdr:rowOff>10795</xdr:rowOff>
    </xdr:to>
    <xdr:cxnSp>
      <xdr:nvCxnSpPr>
        <xdr:cNvPr id="5" name="直接连接符 4"/>
        <xdr:cNvCxnSpPr/>
      </xdr:nvCxnSpPr>
      <xdr:spPr>
        <a:xfrm>
          <a:off x="225425" y="4646295"/>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215265</xdr:colOff>
      <xdr:row>15</xdr:row>
      <xdr:rowOff>601980</xdr:rowOff>
    </xdr:from>
    <xdr:to>
      <xdr:col>4</xdr:col>
      <xdr:colOff>410845</xdr:colOff>
      <xdr:row>15</xdr:row>
      <xdr:rowOff>601980</xdr:rowOff>
    </xdr:to>
    <xdr:cxnSp>
      <xdr:nvCxnSpPr>
        <xdr:cNvPr id="6" name="直接连接符 5"/>
        <xdr:cNvCxnSpPr/>
      </xdr:nvCxnSpPr>
      <xdr:spPr>
        <a:xfrm>
          <a:off x="215265" y="861568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235585</xdr:colOff>
      <xdr:row>16</xdr:row>
      <xdr:rowOff>599440</xdr:rowOff>
    </xdr:from>
    <xdr:to>
      <xdr:col>4</xdr:col>
      <xdr:colOff>431165</xdr:colOff>
      <xdr:row>16</xdr:row>
      <xdr:rowOff>599440</xdr:rowOff>
    </xdr:to>
    <xdr:cxnSp>
      <xdr:nvCxnSpPr>
        <xdr:cNvPr id="7" name="直接连接符 6"/>
        <xdr:cNvCxnSpPr/>
      </xdr:nvCxnSpPr>
      <xdr:spPr>
        <a:xfrm>
          <a:off x="235585" y="922274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7620</xdr:colOff>
      <xdr:row>0</xdr:row>
      <xdr:rowOff>749935</xdr:rowOff>
    </xdr:from>
    <xdr:to>
      <xdr:col>11</xdr:col>
      <xdr:colOff>29845</xdr:colOff>
      <xdr:row>1</xdr:row>
      <xdr:rowOff>143510</xdr:rowOff>
    </xdr:to>
    <xdr:sp>
      <xdr:nvSpPr>
        <xdr:cNvPr id="8" name="矩形 7"/>
        <xdr:cNvSpPr/>
      </xdr:nvSpPr>
      <xdr:spPr>
        <a:xfrm>
          <a:off x="7620" y="749935"/>
          <a:ext cx="6289675" cy="16827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12</xdr:col>
      <xdr:colOff>225425</xdr:colOff>
      <xdr:row>5</xdr:row>
      <xdr:rowOff>6985</xdr:rowOff>
    </xdr:from>
    <xdr:to>
      <xdr:col>16</xdr:col>
      <xdr:colOff>421005</xdr:colOff>
      <xdr:row>5</xdr:row>
      <xdr:rowOff>6985</xdr:rowOff>
    </xdr:to>
    <xdr:cxnSp>
      <xdr:nvCxnSpPr>
        <xdr:cNvPr id="10" name="直接连接符 9"/>
        <xdr:cNvCxnSpPr/>
      </xdr:nvCxnSpPr>
      <xdr:spPr>
        <a:xfrm>
          <a:off x="7113905" y="2343785"/>
          <a:ext cx="2723515"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12</xdr:col>
      <xdr:colOff>225425</xdr:colOff>
      <xdr:row>6</xdr:row>
      <xdr:rowOff>10160</xdr:rowOff>
    </xdr:from>
    <xdr:to>
      <xdr:col>16</xdr:col>
      <xdr:colOff>421005</xdr:colOff>
      <xdr:row>6</xdr:row>
      <xdr:rowOff>10160</xdr:rowOff>
    </xdr:to>
    <xdr:cxnSp>
      <xdr:nvCxnSpPr>
        <xdr:cNvPr id="11" name="直接连接符 10"/>
        <xdr:cNvCxnSpPr/>
      </xdr:nvCxnSpPr>
      <xdr:spPr>
        <a:xfrm>
          <a:off x="7113905" y="323596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12</xdr:col>
      <xdr:colOff>225425</xdr:colOff>
      <xdr:row>9</xdr:row>
      <xdr:rowOff>10795</xdr:rowOff>
    </xdr:from>
    <xdr:to>
      <xdr:col>16</xdr:col>
      <xdr:colOff>421005</xdr:colOff>
      <xdr:row>9</xdr:row>
      <xdr:rowOff>10795</xdr:rowOff>
    </xdr:to>
    <xdr:cxnSp>
      <xdr:nvCxnSpPr>
        <xdr:cNvPr id="12" name="直接连接符 11"/>
        <xdr:cNvCxnSpPr/>
      </xdr:nvCxnSpPr>
      <xdr:spPr>
        <a:xfrm>
          <a:off x="7113905" y="4646295"/>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12</xdr:col>
      <xdr:colOff>215265</xdr:colOff>
      <xdr:row>15</xdr:row>
      <xdr:rowOff>601980</xdr:rowOff>
    </xdr:from>
    <xdr:to>
      <xdr:col>16</xdr:col>
      <xdr:colOff>410845</xdr:colOff>
      <xdr:row>15</xdr:row>
      <xdr:rowOff>601980</xdr:rowOff>
    </xdr:to>
    <xdr:cxnSp>
      <xdr:nvCxnSpPr>
        <xdr:cNvPr id="13" name="直接连接符 12"/>
        <xdr:cNvCxnSpPr/>
      </xdr:nvCxnSpPr>
      <xdr:spPr>
        <a:xfrm>
          <a:off x="7103745" y="861568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12</xdr:col>
      <xdr:colOff>235585</xdr:colOff>
      <xdr:row>16</xdr:row>
      <xdr:rowOff>599440</xdr:rowOff>
    </xdr:from>
    <xdr:to>
      <xdr:col>16</xdr:col>
      <xdr:colOff>431165</xdr:colOff>
      <xdr:row>16</xdr:row>
      <xdr:rowOff>599440</xdr:rowOff>
    </xdr:to>
    <xdr:cxnSp>
      <xdr:nvCxnSpPr>
        <xdr:cNvPr id="14" name="直接连接符 13"/>
        <xdr:cNvCxnSpPr/>
      </xdr:nvCxnSpPr>
      <xdr:spPr>
        <a:xfrm>
          <a:off x="7124065" y="922274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12</xdr:col>
      <xdr:colOff>7620</xdr:colOff>
      <xdr:row>0</xdr:row>
      <xdr:rowOff>749935</xdr:rowOff>
    </xdr:from>
    <xdr:to>
      <xdr:col>23</xdr:col>
      <xdr:colOff>29845</xdr:colOff>
      <xdr:row>1</xdr:row>
      <xdr:rowOff>143510</xdr:rowOff>
    </xdr:to>
    <xdr:sp>
      <xdr:nvSpPr>
        <xdr:cNvPr id="15" name="矩形 14"/>
        <xdr:cNvSpPr/>
      </xdr:nvSpPr>
      <xdr:spPr>
        <a:xfrm>
          <a:off x="6896100" y="749935"/>
          <a:ext cx="6289675" cy="16827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24</xdr:col>
      <xdr:colOff>225425</xdr:colOff>
      <xdr:row>5</xdr:row>
      <xdr:rowOff>6985</xdr:rowOff>
    </xdr:from>
    <xdr:to>
      <xdr:col>28</xdr:col>
      <xdr:colOff>421005</xdr:colOff>
      <xdr:row>5</xdr:row>
      <xdr:rowOff>6985</xdr:rowOff>
    </xdr:to>
    <xdr:cxnSp>
      <xdr:nvCxnSpPr>
        <xdr:cNvPr id="16" name="直接连接符 15"/>
        <xdr:cNvCxnSpPr/>
      </xdr:nvCxnSpPr>
      <xdr:spPr>
        <a:xfrm>
          <a:off x="14002385" y="2343785"/>
          <a:ext cx="2723515"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24</xdr:col>
      <xdr:colOff>225425</xdr:colOff>
      <xdr:row>6</xdr:row>
      <xdr:rowOff>10160</xdr:rowOff>
    </xdr:from>
    <xdr:to>
      <xdr:col>28</xdr:col>
      <xdr:colOff>421005</xdr:colOff>
      <xdr:row>6</xdr:row>
      <xdr:rowOff>10160</xdr:rowOff>
    </xdr:to>
    <xdr:cxnSp>
      <xdr:nvCxnSpPr>
        <xdr:cNvPr id="17" name="直接连接符 16"/>
        <xdr:cNvCxnSpPr/>
      </xdr:nvCxnSpPr>
      <xdr:spPr>
        <a:xfrm>
          <a:off x="14002385" y="323596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24</xdr:col>
      <xdr:colOff>225425</xdr:colOff>
      <xdr:row>9</xdr:row>
      <xdr:rowOff>10795</xdr:rowOff>
    </xdr:from>
    <xdr:to>
      <xdr:col>28</xdr:col>
      <xdr:colOff>421005</xdr:colOff>
      <xdr:row>9</xdr:row>
      <xdr:rowOff>10795</xdr:rowOff>
    </xdr:to>
    <xdr:cxnSp>
      <xdr:nvCxnSpPr>
        <xdr:cNvPr id="18" name="直接连接符 17"/>
        <xdr:cNvCxnSpPr/>
      </xdr:nvCxnSpPr>
      <xdr:spPr>
        <a:xfrm>
          <a:off x="14002385" y="4646295"/>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24</xdr:col>
      <xdr:colOff>215265</xdr:colOff>
      <xdr:row>15</xdr:row>
      <xdr:rowOff>601980</xdr:rowOff>
    </xdr:from>
    <xdr:to>
      <xdr:col>28</xdr:col>
      <xdr:colOff>410845</xdr:colOff>
      <xdr:row>15</xdr:row>
      <xdr:rowOff>601980</xdr:rowOff>
    </xdr:to>
    <xdr:cxnSp>
      <xdr:nvCxnSpPr>
        <xdr:cNvPr id="19" name="直接连接符 18"/>
        <xdr:cNvCxnSpPr/>
      </xdr:nvCxnSpPr>
      <xdr:spPr>
        <a:xfrm>
          <a:off x="13992225" y="861568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24</xdr:col>
      <xdr:colOff>235585</xdr:colOff>
      <xdr:row>16</xdr:row>
      <xdr:rowOff>599440</xdr:rowOff>
    </xdr:from>
    <xdr:to>
      <xdr:col>28</xdr:col>
      <xdr:colOff>431165</xdr:colOff>
      <xdr:row>16</xdr:row>
      <xdr:rowOff>599440</xdr:rowOff>
    </xdr:to>
    <xdr:cxnSp>
      <xdr:nvCxnSpPr>
        <xdr:cNvPr id="20" name="直接连接符 19"/>
        <xdr:cNvCxnSpPr/>
      </xdr:nvCxnSpPr>
      <xdr:spPr>
        <a:xfrm>
          <a:off x="14012545" y="922274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24</xdr:col>
      <xdr:colOff>7620</xdr:colOff>
      <xdr:row>0</xdr:row>
      <xdr:rowOff>749935</xdr:rowOff>
    </xdr:from>
    <xdr:to>
      <xdr:col>35</xdr:col>
      <xdr:colOff>29845</xdr:colOff>
      <xdr:row>1</xdr:row>
      <xdr:rowOff>143510</xdr:rowOff>
    </xdr:to>
    <xdr:sp>
      <xdr:nvSpPr>
        <xdr:cNvPr id="21" name="矩形 20"/>
        <xdr:cNvSpPr/>
      </xdr:nvSpPr>
      <xdr:spPr>
        <a:xfrm>
          <a:off x="13784580" y="749935"/>
          <a:ext cx="6289675" cy="16827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36</xdr:col>
      <xdr:colOff>225425</xdr:colOff>
      <xdr:row>5</xdr:row>
      <xdr:rowOff>6985</xdr:rowOff>
    </xdr:from>
    <xdr:to>
      <xdr:col>40</xdr:col>
      <xdr:colOff>421005</xdr:colOff>
      <xdr:row>5</xdr:row>
      <xdr:rowOff>6985</xdr:rowOff>
    </xdr:to>
    <xdr:cxnSp>
      <xdr:nvCxnSpPr>
        <xdr:cNvPr id="23" name="直接连接符 22"/>
        <xdr:cNvCxnSpPr/>
      </xdr:nvCxnSpPr>
      <xdr:spPr>
        <a:xfrm>
          <a:off x="20890865" y="2343785"/>
          <a:ext cx="2723515"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36</xdr:col>
      <xdr:colOff>225425</xdr:colOff>
      <xdr:row>6</xdr:row>
      <xdr:rowOff>10160</xdr:rowOff>
    </xdr:from>
    <xdr:to>
      <xdr:col>40</xdr:col>
      <xdr:colOff>421005</xdr:colOff>
      <xdr:row>6</xdr:row>
      <xdr:rowOff>10160</xdr:rowOff>
    </xdr:to>
    <xdr:cxnSp>
      <xdr:nvCxnSpPr>
        <xdr:cNvPr id="24" name="直接连接符 23"/>
        <xdr:cNvCxnSpPr/>
      </xdr:nvCxnSpPr>
      <xdr:spPr>
        <a:xfrm>
          <a:off x="20890865" y="323596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36</xdr:col>
      <xdr:colOff>225425</xdr:colOff>
      <xdr:row>9</xdr:row>
      <xdr:rowOff>10795</xdr:rowOff>
    </xdr:from>
    <xdr:to>
      <xdr:col>40</xdr:col>
      <xdr:colOff>421005</xdr:colOff>
      <xdr:row>9</xdr:row>
      <xdr:rowOff>10795</xdr:rowOff>
    </xdr:to>
    <xdr:cxnSp>
      <xdr:nvCxnSpPr>
        <xdr:cNvPr id="25" name="直接连接符 24"/>
        <xdr:cNvCxnSpPr/>
      </xdr:nvCxnSpPr>
      <xdr:spPr>
        <a:xfrm>
          <a:off x="20890865" y="4646295"/>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36</xdr:col>
      <xdr:colOff>215265</xdr:colOff>
      <xdr:row>15</xdr:row>
      <xdr:rowOff>601980</xdr:rowOff>
    </xdr:from>
    <xdr:to>
      <xdr:col>40</xdr:col>
      <xdr:colOff>410845</xdr:colOff>
      <xdr:row>15</xdr:row>
      <xdr:rowOff>601980</xdr:rowOff>
    </xdr:to>
    <xdr:cxnSp>
      <xdr:nvCxnSpPr>
        <xdr:cNvPr id="26" name="直接连接符 25"/>
        <xdr:cNvCxnSpPr/>
      </xdr:nvCxnSpPr>
      <xdr:spPr>
        <a:xfrm>
          <a:off x="20880705" y="861568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36</xdr:col>
      <xdr:colOff>235585</xdr:colOff>
      <xdr:row>16</xdr:row>
      <xdr:rowOff>599440</xdr:rowOff>
    </xdr:from>
    <xdr:to>
      <xdr:col>40</xdr:col>
      <xdr:colOff>431165</xdr:colOff>
      <xdr:row>16</xdr:row>
      <xdr:rowOff>599440</xdr:rowOff>
    </xdr:to>
    <xdr:cxnSp>
      <xdr:nvCxnSpPr>
        <xdr:cNvPr id="27" name="直接连接符 26"/>
        <xdr:cNvCxnSpPr/>
      </xdr:nvCxnSpPr>
      <xdr:spPr>
        <a:xfrm>
          <a:off x="20901025" y="922274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36</xdr:col>
      <xdr:colOff>7620</xdr:colOff>
      <xdr:row>0</xdr:row>
      <xdr:rowOff>749935</xdr:rowOff>
    </xdr:from>
    <xdr:to>
      <xdr:col>47</xdr:col>
      <xdr:colOff>29845</xdr:colOff>
      <xdr:row>1</xdr:row>
      <xdr:rowOff>143510</xdr:rowOff>
    </xdr:to>
    <xdr:sp>
      <xdr:nvSpPr>
        <xdr:cNvPr id="28" name="矩形 27"/>
        <xdr:cNvSpPr/>
      </xdr:nvSpPr>
      <xdr:spPr>
        <a:xfrm>
          <a:off x="20673060" y="749935"/>
          <a:ext cx="6289675" cy="16827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48</xdr:col>
      <xdr:colOff>225425</xdr:colOff>
      <xdr:row>5</xdr:row>
      <xdr:rowOff>6985</xdr:rowOff>
    </xdr:from>
    <xdr:to>
      <xdr:col>52</xdr:col>
      <xdr:colOff>421005</xdr:colOff>
      <xdr:row>5</xdr:row>
      <xdr:rowOff>6985</xdr:rowOff>
    </xdr:to>
    <xdr:cxnSp>
      <xdr:nvCxnSpPr>
        <xdr:cNvPr id="29" name="直接连接符 28"/>
        <xdr:cNvCxnSpPr/>
      </xdr:nvCxnSpPr>
      <xdr:spPr>
        <a:xfrm>
          <a:off x="27779345" y="2343785"/>
          <a:ext cx="2723515"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48</xdr:col>
      <xdr:colOff>225425</xdr:colOff>
      <xdr:row>6</xdr:row>
      <xdr:rowOff>10160</xdr:rowOff>
    </xdr:from>
    <xdr:to>
      <xdr:col>52</xdr:col>
      <xdr:colOff>421005</xdr:colOff>
      <xdr:row>6</xdr:row>
      <xdr:rowOff>10160</xdr:rowOff>
    </xdr:to>
    <xdr:cxnSp>
      <xdr:nvCxnSpPr>
        <xdr:cNvPr id="30" name="直接连接符 29"/>
        <xdr:cNvCxnSpPr/>
      </xdr:nvCxnSpPr>
      <xdr:spPr>
        <a:xfrm>
          <a:off x="27779345" y="323596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48</xdr:col>
      <xdr:colOff>225425</xdr:colOff>
      <xdr:row>9</xdr:row>
      <xdr:rowOff>10795</xdr:rowOff>
    </xdr:from>
    <xdr:to>
      <xdr:col>52</xdr:col>
      <xdr:colOff>421005</xdr:colOff>
      <xdr:row>9</xdr:row>
      <xdr:rowOff>10795</xdr:rowOff>
    </xdr:to>
    <xdr:cxnSp>
      <xdr:nvCxnSpPr>
        <xdr:cNvPr id="31" name="直接连接符 30"/>
        <xdr:cNvCxnSpPr/>
      </xdr:nvCxnSpPr>
      <xdr:spPr>
        <a:xfrm>
          <a:off x="27779345" y="4646295"/>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48</xdr:col>
      <xdr:colOff>215265</xdr:colOff>
      <xdr:row>15</xdr:row>
      <xdr:rowOff>601980</xdr:rowOff>
    </xdr:from>
    <xdr:to>
      <xdr:col>52</xdr:col>
      <xdr:colOff>410845</xdr:colOff>
      <xdr:row>15</xdr:row>
      <xdr:rowOff>601980</xdr:rowOff>
    </xdr:to>
    <xdr:cxnSp>
      <xdr:nvCxnSpPr>
        <xdr:cNvPr id="32" name="直接连接符 31"/>
        <xdr:cNvCxnSpPr/>
      </xdr:nvCxnSpPr>
      <xdr:spPr>
        <a:xfrm>
          <a:off x="27769185" y="861568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48</xdr:col>
      <xdr:colOff>235585</xdr:colOff>
      <xdr:row>16</xdr:row>
      <xdr:rowOff>599440</xdr:rowOff>
    </xdr:from>
    <xdr:to>
      <xdr:col>52</xdr:col>
      <xdr:colOff>431165</xdr:colOff>
      <xdr:row>16</xdr:row>
      <xdr:rowOff>599440</xdr:rowOff>
    </xdr:to>
    <xdr:cxnSp>
      <xdr:nvCxnSpPr>
        <xdr:cNvPr id="33" name="直接连接符 32"/>
        <xdr:cNvCxnSpPr/>
      </xdr:nvCxnSpPr>
      <xdr:spPr>
        <a:xfrm>
          <a:off x="27789505" y="922274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48</xdr:col>
      <xdr:colOff>7620</xdr:colOff>
      <xdr:row>0</xdr:row>
      <xdr:rowOff>749935</xdr:rowOff>
    </xdr:from>
    <xdr:to>
      <xdr:col>59</xdr:col>
      <xdr:colOff>29845</xdr:colOff>
      <xdr:row>1</xdr:row>
      <xdr:rowOff>143510</xdr:rowOff>
    </xdr:to>
    <xdr:sp>
      <xdr:nvSpPr>
        <xdr:cNvPr id="34" name="矩形 33"/>
        <xdr:cNvSpPr/>
      </xdr:nvSpPr>
      <xdr:spPr>
        <a:xfrm>
          <a:off x="27561540" y="749935"/>
          <a:ext cx="6289675" cy="16827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60</xdr:col>
      <xdr:colOff>225425</xdr:colOff>
      <xdr:row>5</xdr:row>
      <xdr:rowOff>6985</xdr:rowOff>
    </xdr:from>
    <xdr:to>
      <xdr:col>64</xdr:col>
      <xdr:colOff>421005</xdr:colOff>
      <xdr:row>5</xdr:row>
      <xdr:rowOff>6985</xdr:rowOff>
    </xdr:to>
    <xdr:cxnSp>
      <xdr:nvCxnSpPr>
        <xdr:cNvPr id="35" name="直接连接符 34"/>
        <xdr:cNvCxnSpPr/>
      </xdr:nvCxnSpPr>
      <xdr:spPr>
        <a:xfrm>
          <a:off x="34667825" y="2343785"/>
          <a:ext cx="2723515"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60</xdr:col>
      <xdr:colOff>225425</xdr:colOff>
      <xdr:row>6</xdr:row>
      <xdr:rowOff>10160</xdr:rowOff>
    </xdr:from>
    <xdr:to>
      <xdr:col>64</xdr:col>
      <xdr:colOff>421005</xdr:colOff>
      <xdr:row>6</xdr:row>
      <xdr:rowOff>10160</xdr:rowOff>
    </xdr:to>
    <xdr:cxnSp>
      <xdr:nvCxnSpPr>
        <xdr:cNvPr id="36" name="直接连接符 35"/>
        <xdr:cNvCxnSpPr/>
      </xdr:nvCxnSpPr>
      <xdr:spPr>
        <a:xfrm>
          <a:off x="34667825" y="323596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60</xdr:col>
      <xdr:colOff>225425</xdr:colOff>
      <xdr:row>9</xdr:row>
      <xdr:rowOff>10795</xdr:rowOff>
    </xdr:from>
    <xdr:to>
      <xdr:col>64</xdr:col>
      <xdr:colOff>421005</xdr:colOff>
      <xdr:row>9</xdr:row>
      <xdr:rowOff>10795</xdr:rowOff>
    </xdr:to>
    <xdr:cxnSp>
      <xdr:nvCxnSpPr>
        <xdr:cNvPr id="37" name="直接连接符 36"/>
        <xdr:cNvCxnSpPr/>
      </xdr:nvCxnSpPr>
      <xdr:spPr>
        <a:xfrm>
          <a:off x="34667825" y="4646295"/>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60</xdr:col>
      <xdr:colOff>215265</xdr:colOff>
      <xdr:row>15</xdr:row>
      <xdr:rowOff>601980</xdr:rowOff>
    </xdr:from>
    <xdr:to>
      <xdr:col>64</xdr:col>
      <xdr:colOff>410845</xdr:colOff>
      <xdr:row>15</xdr:row>
      <xdr:rowOff>601980</xdr:rowOff>
    </xdr:to>
    <xdr:cxnSp>
      <xdr:nvCxnSpPr>
        <xdr:cNvPr id="38" name="直接连接符 37"/>
        <xdr:cNvCxnSpPr/>
      </xdr:nvCxnSpPr>
      <xdr:spPr>
        <a:xfrm>
          <a:off x="34657665" y="861568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60</xdr:col>
      <xdr:colOff>235585</xdr:colOff>
      <xdr:row>16</xdr:row>
      <xdr:rowOff>599440</xdr:rowOff>
    </xdr:from>
    <xdr:to>
      <xdr:col>64</xdr:col>
      <xdr:colOff>431165</xdr:colOff>
      <xdr:row>16</xdr:row>
      <xdr:rowOff>599440</xdr:rowOff>
    </xdr:to>
    <xdr:cxnSp>
      <xdr:nvCxnSpPr>
        <xdr:cNvPr id="39" name="直接连接符 38"/>
        <xdr:cNvCxnSpPr/>
      </xdr:nvCxnSpPr>
      <xdr:spPr>
        <a:xfrm>
          <a:off x="34677985" y="922274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60</xdr:col>
      <xdr:colOff>7620</xdr:colOff>
      <xdr:row>0</xdr:row>
      <xdr:rowOff>749935</xdr:rowOff>
    </xdr:from>
    <xdr:to>
      <xdr:col>71</xdr:col>
      <xdr:colOff>29845</xdr:colOff>
      <xdr:row>1</xdr:row>
      <xdr:rowOff>143510</xdr:rowOff>
    </xdr:to>
    <xdr:sp>
      <xdr:nvSpPr>
        <xdr:cNvPr id="40" name="矩形 39"/>
        <xdr:cNvSpPr/>
      </xdr:nvSpPr>
      <xdr:spPr>
        <a:xfrm>
          <a:off x="34450020" y="749935"/>
          <a:ext cx="6289675" cy="16827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72</xdr:col>
      <xdr:colOff>225425</xdr:colOff>
      <xdr:row>5</xdr:row>
      <xdr:rowOff>6985</xdr:rowOff>
    </xdr:from>
    <xdr:to>
      <xdr:col>76</xdr:col>
      <xdr:colOff>421005</xdr:colOff>
      <xdr:row>5</xdr:row>
      <xdr:rowOff>6985</xdr:rowOff>
    </xdr:to>
    <xdr:cxnSp>
      <xdr:nvCxnSpPr>
        <xdr:cNvPr id="41" name="直接连接符 40"/>
        <xdr:cNvCxnSpPr/>
      </xdr:nvCxnSpPr>
      <xdr:spPr>
        <a:xfrm>
          <a:off x="41556305" y="2343785"/>
          <a:ext cx="2723515"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72</xdr:col>
      <xdr:colOff>225425</xdr:colOff>
      <xdr:row>6</xdr:row>
      <xdr:rowOff>10160</xdr:rowOff>
    </xdr:from>
    <xdr:to>
      <xdr:col>76</xdr:col>
      <xdr:colOff>421005</xdr:colOff>
      <xdr:row>6</xdr:row>
      <xdr:rowOff>10160</xdr:rowOff>
    </xdr:to>
    <xdr:cxnSp>
      <xdr:nvCxnSpPr>
        <xdr:cNvPr id="42" name="直接连接符 41"/>
        <xdr:cNvCxnSpPr/>
      </xdr:nvCxnSpPr>
      <xdr:spPr>
        <a:xfrm>
          <a:off x="41556305" y="323596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72</xdr:col>
      <xdr:colOff>225425</xdr:colOff>
      <xdr:row>9</xdr:row>
      <xdr:rowOff>10795</xdr:rowOff>
    </xdr:from>
    <xdr:to>
      <xdr:col>76</xdr:col>
      <xdr:colOff>421005</xdr:colOff>
      <xdr:row>9</xdr:row>
      <xdr:rowOff>10795</xdr:rowOff>
    </xdr:to>
    <xdr:cxnSp>
      <xdr:nvCxnSpPr>
        <xdr:cNvPr id="43" name="直接连接符 42"/>
        <xdr:cNvCxnSpPr/>
      </xdr:nvCxnSpPr>
      <xdr:spPr>
        <a:xfrm>
          <a:off x="41556305" y="4646295"/>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72</xdr:col>
      <xdr:colOff>215265</xdr:colOff>
      <xdr:row>15</xdr:row>
      <xdr:rowOff>601980</xdr:rowOff>
    </xdr:from>
    <xdr:to>
      <xdr:col>76</xdr:col>
      <xdr:colOff>410845</xdr:colOff>
      <xdr:row>15</xdr:row>
      <xdr:rowOff>601980</xdr:rowOff>
    </xdr:to>
    <xdr:cxnSp>
      <xdr:nvCxnSpPr>
        <xdr:cNvPr id="44" name="直接连接符 43"/>
        <xdr:cNvCxnSpPr/>
      </xdr:nvCxnSpPr>
      <xdr:spPr>
        <a:xfrm>
          <a:off x="41546145" y="861568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72</xdr:col>
      <xdr:colOff>235585</xdr:colOff>
      <xdr:row>16</xdr:row>
      <xdr:rowOff>599440</xdr:rowOff>
    </xdr:from>
    <xdr:to>
      <xdr:col>76</xdr:col>
      <xdr:colOff>431165</xdr:colOff>
      <xdr:row>16</xdr:row>
      <xdr:rowOff>599440</xdr:rowOff>
    </xdr:to>
    <xdr:cxnSp>
      <xdr:nvCxnSpPr>
        <xdr:cNvPr id="45" name="直接连接符 44"/>
        <xdr:cNvCxnSpPr/>
      </xdr:nvCxnSpPr>
      <xdr:spPr>
        <a:xfrm>
          <a:off x="41566465" y="922274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72</xdr:col>
      <xdr:colOff>7620</xdr:colOff>
      <xdr:row>0</xdr:row>
      <xdr:rowOff>749935</xdr:rowOff>
    </xdr:from>
    <xdr:to>
      <xdr:col>83</xdr:col>
      <xdr:colOff>29845</xdr:colOff>
      <xdr:row>1</xdr:row>
      <xdr:rowOff>143510</xdr:rowOff>
    </xdr:to>
    <xdr:sp>
      <xdr:nvSpPr>
        <xdr:cNvPr id="46" name="矩形 45"/>
        <xdr:cNvSpPr/>
      </xdr:nvSpPr>
      <xdr:spPr>
        <a:xfrm>
          <a:off x="41338500" y="749935"/>
          <a:ext cx="6289675" cy="16827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84</xdr:col>
      <xdr:colOff>225425</xdr:colOff>
      <xdr:row>5</xdr:row>
      <xdr:rowOff>6985</xdr:rowOff>
    </xdr:from>
    <xdr:to>
      <xdr:col>88</xdr:col>
      <xdr:colOff>421005</xdr:colOff>
      <xdr:row>5</xdr:row>
      <xdr:rowOff>6985</xdr:rowOff>
    </xdr:to>
    <xdr:cxnSp>
      <xdr:nvCxnSpPr>
        <xdr:cNvPr id="49" name="直接连接符 48"/>
        <xdr:cNvCxnSpPr/>
      </xdr:nvCxnSpPr>
      <xdr:spPr>
        <a:xfrm>
          <a:off x="48444785" y="2343785"/>
          <a:ext cx="2723515"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84</xdr:col>
      <xdr:colOff>225425</xdr:colOff>
      <xdr:row>6</xdr:row>
      <xdr:rowOff>10160</xdr:rowOff>
    </xdr:from>
    <xdr:to>
      <xdr:col>88</xdr:col>
      <xdr:colOff>421005</xdr:colOff>
      <xdr:row>6</xdr:row>
      <xdr:rowOff>10160</xdr:rowOff>
    </xdr:to>
    <xdr:cxnSp>
      <xdr:nvCxnSpPr>
        <xdr:cNvPr id="50" name="直接连接符 49"/>
        <xdr:cNvCxnSpPr/>
      </xdr:nvCxnSpPr>
      <xdr:spPr>
        <a:xfrm>
          <a:off x="48444785" y="323596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84</xdr:col>
      <xdr:colOff>225425</xdr:colOff>
      <xdr:row>9</xdr:row>
      <xdr:rowOff>10795</xdr:rowOff>
    </xdr:from>
    <xdr:to>
      <xdr:col>88</xdr:col>
      <xdr:colOff>421005</xdr:colOff>
      <xdr:row>9</xdr:row>
      <xdr:rowOff>10795</xdr:rowOff>
    </xdr:to>
    <xdr:cxnSp>
      <xdr:nvCxnSpPr>
        <xdr:cNvPr id="52" name="直接连接符 51"/>
        <xdr:cNvCxnSpPr/>
      </xdr:nvCxnSpPr>
      <xdr:spPr>
        <a:xfrm>
          <a:off x="48444785" y="4646295"/>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84</xdr:col>
      <xdr:colOff>215265</xdr:colOff>
      <xdr:row>15</xdr:row>
      <xdr:rowOff>601980</xdr:rowOff>
    </xdr:from>
    <xdr:to>
      <xdr:col>88</xdr:col>
      <xdr:colOff>410845</xdr:colOff>
      <xdr:row>15</xdr:row>
      <xdr:rowOff>601980</xdr:rowOff>
    </xdr:to>
    <xdr:cxnSp>
      <xdr:nvCxnSpPr>
        <xdr:cNvPr id="53" name="直接连接符 52"/>
        <xdr:cNvCxnSpPr/>
      </xdr:nvCxnSpPr>
      <xdr:spPr>
        <a:xfrm>
          <a:off x="48434625" y="861568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84</xdr:col>
      <xdr:colOff>235585</xdr:colOff>
      <xdr:row>16</xdr:row>
      <xdr:rowOff>599440</xdr:rowOff>
    </xdr:from>
    <xdr:to>
      <xdr:col>88</xdr:col>
      <xdr:colOff>431165</xdr:colOff>
      <xdr:row>16</xdr:row>
      <xdr:rowOff>599440</xdr:rowOff>
    </xdr:to>
    <xdr:cxnSp>
      <xdr:nvCxnSpPr>
        <xdr:cNvPr id="54" name="直接连接符 53"/>
        <xdr:cNvCxnSpPr/>
      </xdr:nvCxnSpPr>
      <xdr:spPr>
        <a:xfrm>
          <a:off x="48454945" y="9222740"/>
          <a:ext cx="2723515"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84</xdr:col>
      <xdr:colOff>7620</xdr:colOff>
      <xdr:row>0</xdr:row>
      <xdr:rowOff>749935</xdr:rowOff>
    </xdr:from>
    <xdr:to>
      <xdr:col>95</xdr:col>
      <xdr:colOff>29845</xdr:colOff>
      <xdr:row>1</xdr:row>
      <xdr:rowOff>143510</xdr:rowOff>
    </xdr:to>
    <xdr:sp>
      <xdr:nvSpPr>
        <xdr:cNvPr id="55" name="矩形 54"/>
        <xdr:cNvSpPr/>
      </xdr:nvSpPr>
      <xdr:spPr>
        <a:xfrm>
          <a:off x="48226980" y="749935"/>
          <a:ext cx="6289675" cy="16827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541020</xdr:colOff>
      <xdr:row>2</xdr:row>
      <xdr:rowOff>170180</xdr:rowOff>
    </xdr:to>
    <xdr:pic>
      <xdr:nvPicPr>
        <xdr:cNvPr id="16" name="ID_B8866FF8443B4D5096579B7AE4F8D3EB" descr="图标_职业_近卫_大图"/>
        <xdr:cNvPicPr>
          <a:picLocks noChangeAspect="1"/>
        </xdr:cNvPicPr>
      </xdr:nvPicPr>
      <xdr:blipFill>
        <a:blip r:embed="rId1"/>
        <a:stretch>
          <a:fillRect/>
        </a:stretch>
      </xdr:blipFill>
      <xdr:spPr>
        <a:xfrm>
          <a:off x="617220" y="5101590"/>
          <a:ext cx="541020" cy="525780"/>
        </a:xfrm>
        <a:prstGeom prst="rect">
          <a:avLst/>
        </a:prstGeom>
      </xdr:spPr>
    </xdr:pic>
    <xdr:clientData/>
  </xdr:twoCellAnchor>
  <xdr:twoCellAnchor editAs="oneCell">
    <xdr:from>
      <xdr:col>0</xdr:col>
      <xdr:colOff>0</xdr:colOff>
      <xdr:row>0</xdr:row>
      <xdr:rowOff>0</xdr:rowOff>
    </xdr:from>
    <xdr:to>
      <xdr:col>2</xdr:col>
      <xdr:colOff>66040</xdr:colOff>
      <xdr:row>7</xdr:row>
      <xdr:rowOff>53975</xdr:rowOff>
    </xdr:to>
    <xdr:pic>
      <xdr:nvPicPr>
        <xdr:cNvPr id="3" name="ID_29B33786BB7E433C91D14FE25C8230AE"/>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99085" y="1405255"/>
          <a:ext cx="1323340" cy="1298575"/>
        </a:xfrm>
        <a:prstGeom prst="rect">
          <a:avLst/>
        </a:prstGeom>
      </xdr:spPr>
    </xdr:pic>
    <xdr:clientData/>
  </xdr:twoCellAnchor>
  <xdr:twoCellAnchor editAs="oneCell">
    <xdr:from>
      <xdr:col>0</xdr:col>
      <xdr:colOff>0</xdr:colOff>
      <xdr:row>0</xdr:row>
      <xdr:rowOff>0</xdr:rowOff>
    </xdr:from>
    <xdr:to>
      <xdr:col>0</xdr:col>
      <xdr:colOff>552450</xdr:colOff>
      <xdr:row>3</xdr:row>
      <xdr:rowOff>40005</xdr:rowOff>
    </xdr:to>
    <xdr:pic>
      <xdr:nvPicPr>
        <xdr:cNvPr id="96" name="ID_650E4A34B21B426196708D7D30EC7645"/>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1813560" y="19900900"/>
          <a:ext cx="552450" cy="573405"/>
        </a:xfrm>
        <a:prstGeom prst="rect">
          <a:avLst/>
        </a:prstGeom>
      </xdr:spPr>
    </xdr:pic>
    <xdr:clientData/>
  </xdr:twoCellAnchor>
  <xdr:twoCellAnchor editAs="oneCell">
    <xdr:from>
      <xdr:col>0</xdr:col>
      <xdr:colOff>0</xdr:colOff>
      <xdr:row>0</xdr:row>
      <xdr:rowOff>0</xdr:rowOff>
    </xdr:from>
    <xdr:to>
      <xdr:col>0</xdr:col>
      <xdr:colOff>541020</xdr:colOff>
      <xdr:row>2</xdr:row>
      <xdr:rowOff>168275</xdr:rowOff>
    </xdr:to>
    <xdr:pic>
      <xdr:nvPicPr>
        <xdr:cNvPr id="14" name="ID_DC3FF61C4C3A43A8878CE11429382A86" descr="图标_职业_术师_大图"/>
        <xdr:cNvPicPr>
          <a:picLocks noChangeAspect="1"/>
        </xdr:cNvPicPr>
      </xdr:nvPicPr>
      <xdr:blipFill>
        <a:blip r:embed="rId4"/>
        <a:stretch>
          <a:fillRect/>
        </a:stretch>
      </xdr:blipFill>
      <xdr:spPr>
        <a:xfrm>
          <a:off x="617220" y="6195060"/>
          <a:ext cx="541020" cy="523875"/>
        </a:xfrm>
        <a:prstGeom prst="rect">
          <a:avLst/>
        </a:prstGeom>
      </xdr:spPr>
    </xdr:pic>
    <xdr:clientData/>
  </xdr:twoCellAnchor>
  <xdr:twoCellAnchor editAs="oneCell">
    <xdr:from>
      <xdr:col>0</xdr:col>
      <xdr:colOff>0</xdr:colOff>
      <xdr:row>0</xdr:row>
      <xdr:rowOff>0</xdr:rowOff>
    </xdr:from>
    <xdr:to>
      <xdr:col>2</xdr:col>
      <xdr:colOff>267335</xdr:colOff>
      <xdr:row>6</xdr:row>
      <xdr:rowOff>76200</xdr:rowOff>
    </xdr:to>
    <xdr:pic>
      <xdr:nvPicPr>
        <xdr:cNvPr id="4" name="ID_00D9FB4C8F334FD5BD7BFDB39E4820D1"/>
        <xdr:cNvPicPr>
          <a:picLocks noChangeAspect="1"/>
        </xdr:cNvPicPr>
      </xdr:nvPicPr>
      <xdr:blipFill>
        <a:blip r:embed="rId5"/>
        <a:stretch>
          <a:fillRect/>
        </a:stretch>
      </xdr:blipFill>
      <xdr:spPr>
        <a:xfrm>
          <a:off x="1094105" y="6162675"/>
          <a:ext cx="1524635" cy="1143000"/>
        </a:xfrm>
        <a:prstGeom prst="rect">
          <a:avLst/>
        </a:prstGeom>
      </xdr:spPr>
    </xdr:pic>
    <xdr:clientData/>
  </xdr:twoCellAnchor>
  <xdr:twoCellAnchor editAs="oneCell">
    <xdr:from>
      <xdr:col>0</xdr:col>
      <xdr:colOff>0</xdr:colOff>
      <xdr:row>0</xdr:row>
      <xdr:rowOff>0</xdr:rowOff>
    </xdr:from>
    <xdr:to>
      <xdr:col>0</xdr:col>
      <xdr:colOff>563880</xdr:colOff>
      <xdr:row>3</xdr:row>
      <xdr:rowOff>55245</xdr:rowOff>
    </xdr:to>
    <xdr:pic>
      <xdr:nvPicPr>
        <xdr:cNvPr id="97" name="ID_6D0E85631DA94EC1A33EDB3F8C2E46CB"/>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819910" y="20502880"/>
          <a:ext cx="563880" cy="588645"/>
        </a:xfrm>
        <a:prstGeom prst="rect">
          <a:avLst/>
        </a:prstGeom>
      </xdr:spPr>
    </xdr:pic>
    <xdr:clientData/>
  </xdr:twoCellAnchor>
  <xdr:twoCellAnchor editAs="oneCell">
    <xdr:from>
      <xdr:col>0</xdr:col>
      <xdr:colOff>0</xdr:colOff>
      <xdr:row>0</xdr:row>
      <xdr:rowOff>0</xdr:rowOff>
    </xdr:from>
    <xdr:to>
      <xdr:col>0</xdr:col>
      <xdr:colOff>579755</xdr:colOff>
      <xdr:row>2</xdr:row>
      <xdr:rowOff>163195</xdr:rowOff>
    </xdr:to>
    <xdr:pic>
      <xdr:nvPicPr>
        <xdr:cNvPr id="99" name="ID_8CC09361A8C64EECA9B27477FBBC2B30"/>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1860550" y="21643975"/>
          <a:ext cx="579755" cy="518795"/>
        </a:xfrm>
        <a:prstGeom prst="rect">
          <a:avLst/>
        </a:prstGeom>
      </xdr:spPr>
    </xdr:pic>
    <xdr:clientData/>
  </xdr:twoCellAnchor>
  <xdr:twoCellAnchor editAs="oneCell">
    <xdr:from>
      <xdr:col>0</xdr:col>
      <xdr:colOff>0</xdr:colOff>
      <xdr:row>0</xdr:row>
      <xdr:rowOff>0</xdr:rowOff>
    </xdr:from>
    <xdr:to>
      <xdr:col>2</xdr:col>
      <xdr:colOff>17145</xdr:colOff>
      <xdr:row>7</xdr:row>
      <xdr:rowOff>29845</xdr:rowOff>
    </xdr:to>
    <xdr:pic>
      <xdr:nvPicPr>
        <xdr:cNvPr id="22" name="ID_68164ABF2B164D4CBEAEC3E55447C726"/>
        <xdr:cNvPicPr>
          <a:picLocks noChangeAspect="1"/>
        </xdr:cNvPicPr>
      </xdr:nvPicPr>
      <xdr:blipFill>
        <a:blip r:embed="rId8"/>
        <a:stretch>
          <a:fillRect/>
        </a:stretch>
      </xdr:blipFill>
      <xdr:spPr>
        <a:xfrm>
          <a:off x="7955915" y="6195695"/>
          <a:ext cx="1274445" cy="1274445"/>
        </a:xfrm>
        <a:prstGeom prst="rect">
          <a:avLst/>
        </a:prstGeom>
      </xdr:spPr>
    </xdr:pic>
    <xdr:clientData/>
  </xdr:twoCellAnchor>
  <xdr:twoCellAnchor editAs="oneCell">
    <xdr:from>
      <xdr:col>0</xdr:col>
      <xdr:colOff>0</xdr:colOff>
      <xdr:row>0</xdr:row>
      <xdr:rowOff>0</xdr:rowOff>
    </xdr:from>
    <xdr:to>
      <xdr:col>0</xdr:col>
      <xdr:colOff>391795</xdr:colOff>
      <xdr:row>3</xdr:row>
      <xdr:rowOff>50165</xdr:rowOff>
    </xdr:to>
    <xdr:pic>
      <xdr:nvPicPr>
        <xdr:cNvPr id="76" name="ID_F68FB23C557B439B8A2572C0FBE16F40"/>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1795780" y="13331825"/>
          <a:ext cx="391795" cy="583565"/>
        </a:xfrm>
        <a:prstGeom prst="rect">
          <a:avLst/>
        </a:prstGeom>
      </xdr:spPr>
    </xdr:pic>
    <xdr:clientData/>
  </xdr:twoCellAnchor>
  <xdr:twoCellAnchor editAs="oneCell">
    <xdr:from>
      <xdr:col>0</xdr:col>
      <xdr:colOff>0</xdr:colOff>
      <xdr:row>0</xdr:row>
      <xdr:rowOff>0</xdr:rowOff>
    </xdr:from>
    <xdr:to>
      <xdr:col>0</xdr:col>
      <xdr:colOff>541020</xdr:colOff>
      <xdr:row>2</xdr:row>
      <xdr:rowOff>170180</xdr:rowOff>
    </xdr:to>
    <xdr:pic>
      <xdr:nvPicPr>
        <xdr:cNvPr id="18" name="ID_E8432A8329DC429187475324D11B3301" descr="图标_职业_辅助_大图"/>
        <xdr:cNvPicPr>
          <a:picLocks noChangeAspect="1"/>
        </xdr:cNvPicPr>
      </xdr:nvPicPr>
      <xdr:blipFill>
        <a:blip r:embed="rId10"/>
        <a:stretch>
          <a:fillRect/>
        </a:stretch>
      </xdr:blipFill>
      <xdr:spPr>
        <a:xfrm>
          <a:off x="617220" y="4554855"/>
          <a:ext cx="541020" cy="525780"/>
        </a:xfrm>
        <a:prstGeom prst="rect">
          <a:avLst/>
        </a:prstGeom>
      </xdr:spPr>
    </xdr:pic>
    <xdr:clientData/>
  </xdr:twoCellAnchor>
  <xdr:twoCellAnchor editAs="oneCell">
    <xdr:from>
      <xdr:col>0</xdr:col>
      <xdr:colOff>0</xdr:colOff>
      <xdr:row>0</xdr:row>
      <xdr:rowOff>0</xdr:rowOff>
    </xdr:from>
    <xdr:to>
      <xdr:col>2</xdr:col>
      <xdr:colOff>626110</xdr:colOff>
      <xdr:row>7</xdr:row>
      <xdr:rowOff>160020</xdr:rowOff>
    </xdr:to>
    <xdr:pic>
      <xdr:nvPicPr>
        <xdr:cNvPr id="5" name="ID_A07359371D7F4787B3C1B95EB632C043" descr="upload_post_object_v2_4283199742"/>
        <xdr:cNvPicPr>
          <a:picLocks noChangeAspect="1"/>
        </xdr:cNvPicPr>
      </xdr:nvPicPr>
      <xdr:blipFill>
        <a:blip r:embed="rId11"/>
        <a:stretch>
          <a:fillRect/>
        </a:stretch>
      </xdr:blipFill>
      <xdr:spPr>
        <a:xfrm>
          <a:off x="21133435" y="6072505"/>
          <a:ext cx="1883410" cy="1404620"/>
        </a:xfrm>
        <a:prstGeom prst="rect">
          <a:avLst/>
        </a:prstGeom>
      </xdr:spPr>
    </xdr:pic>
    <xdr:clientData/>
  </xdr:twoCellAnchor>
  <xdr:twoCellAnchor editAs="oneCell">
    <xdr:from>
      <xdr:col>0</xdr:col>
      <xdr:colOff>0</xdr:colOff>
      <xdr:row>0</xdr:row>
      <xdr:rowOff>0</xdr:rowOff>
    </xdr:from>
    <xdr:to>
      <xdr:col>0</xdr:col>
      <xdr:colOff>562610</xdr:colOff>
      <xdr:row>3</xdr:row>
      <xdr:rowOff>29210</xdr:rowOff>
    </xdr:to>
    <xdr:pic>
      <xdr:nvPicPr>
        <xdr:cNvPr id="72" name="ID_711A68FC722D47E39FEB7C80579ECDFB"/>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1731010" y="12219940"/>
          <a:ext cx="562610" cy="562610"/>
        </a:xfrm>
        <a:prstGeom prst="rect">
          <a:avLst/>
        </a:prstGeom>
      </xdr:spPr>
    </xdr:pic>
    <xdr:clientData/>
  </xdr:twoCellAnchor>
  <xdr:twoCellAnchor editAs="oneCell">
    <xdr:from>
      <xdr:col>0</xdr:col>
      <xdr:colOff>0</xdr:colOff>
      <xdr:row>0</xdr:row>
      <xdr:rowOff>0</xdr:rowOff>
    </xdr:from>
    <xdr:to>
      <xdr:col>2</xdr:col>
      <xdr:colOff>132080</xdr:colOff>
      <xdr:row>9</xdr:row>
      <xdr:rowOff>162560</xdr:rowOff>
    </xdr:to>
    <xdr:pic>
      <xdr:nvPicPr>
        <xdr:cNvPr id="6" name="ID_CD3D405B8AAD4B80863FC50D9B91FCF3"/>
        <xdr:cNvPicPr>
          <a:picLocks noChangeAspect="1"/>
        </xdr:cNvPicPr>
      </xdr:nvPicPr>
      <xdr:blipFill>
        <a:blip r:embed="rId13" r:link="rId14"/>
        <a:stretch>
          <a:fillRect/>
        </a:stretch>
      </xdr:blipFill>
      <xdr:spPr>
        <a:xfrm>
          <a:off x="28381325" y="5946140"/>
          <a:ext cx="1389380" cy="1762760"/>
        </a:xfrm>
        <a:prstGeom prst="rect">
          <a:avLst/>
        </a:prstGeom>
        <a:noFill/>
        <a:ln w="9525">
          <a:noFill/>
        </a:ln>
      </xdr:spPr>
    </xdr:pic>
    <xdr:clientData/>
  </xdr:twoCellAnchor>
  <xdr:twoCellAnchor editAs="oneCell">
    <xdr:from>
      <xdr:col>0</xdr:col>
      <xdr:colOff>0</xdr:colOff>
      <xdr:row>0</xdr:row>
      <xdr:rowOff>0</xdr:rowOff>
    </xdr:from>
    <xdr:to>
      <xdr:col>2</xdr:col>
      <xdr:colOff>240665</xdr:colOff>
      <xdr:row>6</xdr:row>
      <xdr:rowOff>56515</xdr:rowOff>
    </xdr:to>
    <xdr:pic>
      <xdr:nvPicPr>
        <xdr:cNvPr id="7" name="ID_9DA30D570E8E4D26ABC3452C240B64BB" descr="upload_post_object_v2_808434129"/>
        <xdr:cNvPicPr>
          <a:picLocks noChangeAspect="1"/>
        </xdr:cNvPicPr>
      </xdr:nvPicPr>
      <xdr:blipFill>
        <a:blip r:embed="rId15"/>
        <a:stretch>
          <a:fillRect/>
        </a:stretch>
      </xdr:blipFill>
      <xdr:spPr>
        <a:xfrm>
          <a:off x="34829750" y="6218555"/>
          <a:ext cx="1497965" cy="1123315"/>
        </a:xfrm>
        <a:prstGeom prst="rect">
          <a:avLst/>
        </a:prstGeom>
      </xdr:spPr>
    </xdr:pic>
    <xdr:clientData/>
  </xdr:twoCellAnchor>
  <xdr:twoCellAnchor editAs="oneCell">
    <xdr:from>
      <xdr:col>0</xdr:col>
      <xdr:colOff>0</xdr:colOff>
      <xdr:row>0</xdr:row>
      <xdr:rowOff>0</xdr:rowOff>
    </xdr:from>
    <xdr:to>
      <xdr:col>0</xdr:col>
      <xdr:colOff>541020</xdr:colOff>
      <xdr:row>3</xdr:row>
      <xdr:rowOff>5715</xdr:rowOff>
    </xdr:to>
    <xdr:pic>
      <xdr:nvPicPr>
        <xdr:cNvPr id="24" name="ID_A73A0903F4264DAB82ED6940717697CB" descr="图标_职业_医疗_大图"/>
        <xdr:cNvPicPr>
          <a:picLocks noChangeAspect="1"/>
        </xdr:cNvPicPr>
      </xdr:nvPicPr>
      <xdr:blipFill>
        <a:blip r:embed="rId16"/>
        <a:stretch>
          <a:fillRect/>
        </a:stretch>
      </xdr:blipFill>
      <xdr:spPr>
        <a:xfrm>
          <a:off x="617220" y="7837170"/>
          <a:ext cx="541020" cy="539115"/>
        </a:xfrm>
        <a:prstGeom prst="rect">
          <a:avLst/>
        </a:prstGeom>
      </xdr:spPr>
    </xdr:pic>
    <xdr:clientData/>
  </xdr:twoCellAnchor>
  <xdr:twoCellAnchor editAs="oneCell">
    <xdr:from>
      <xdr:col>0</xdr:col>
      <xdr:colOff>0</xdr:colOff>
      <xdr:row>0</xdr:row>
      <xdr:rowOff>0</xdr:rowOff>
    </xdr:from>
    <xdr:to>
      <xdr:col>0</xdr:col>
      <xdr:colOff>499745</xdr:colOff>
      <xdr:row>3</xdr:row>
      <xdr:rowOff>20955</xdr:rowOff>
    </xdr:to>
    <xdr:pic>
      <xdr:nvPicPr>
        <xdr:cNvPr id="135" name="ID_429575C20C454685927B901E0BD3B163"/>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1802130" y="35256470"/>
          <a:ext cx="499745" cy="554355"/>
        </a:xfrm>
        <a:prstGeom prst="rect">
          <a:avLst/>
        </a:prstGeom>
      </xdr:spPr>
    </xdr:pic>
    <xdr:clientData/>
  </xdr:twoCellAnchor>
  <xdr:twoCellAnchor editAs="oneCell">
    <xdr:from>
      <xdr:col>0</xdr:col>
      <xdr:colOff>0</xdr:colOff>
      <xdr:row>0</xdr:row>
      <xdr:rowOff>0</xdr:rowOff>
    </xdr:from>
    <xdr:to>
      <xdr:col>2</xdr:col>
      <xdr:colOff>283845</xdr:colOff>
      <xdr:row>6</xdr:row>
      <xdr:rowOff>89535</xdr:rowOff>
    </xdr:to>
    <xdr:pic>
      <xdr:nvPicPr>
        <xdr:cNvPr id="48" name="ID_4AC529FA57124C808C6288C783BC17B5" descr="upload_post_object_v2_4283199742"/>
        <xdr:cNvPicPr>
          <a:picLocks noChangeAspect="1"/>
        </xdr:cNvPicPr>
      </xdr:nvPicPr>
      <xdr:blipFill>
        <a:blip r:embed="rId11"/>
        <a:stretch>
          <a:fillRect/>
        </a:stretch>
      </xdr:blipFill>
      <xdr:spPr>
        <a:xfrm>
          <a:off x="41670605" y="6195695"/>
          <a:ext cx="1541145" cy="1156335"/>
        </a:xfrm>
        <a:prstGeom prst="rect">
          <a:avLst/>
        </a:prstGeom>
      </xdr:spPr>
    </xdr:pic>
    <xdr:clientData/>
  </xdr:twoCellAnchor>
  <xdr:twoCellAnchor editAs="oneCell">
    <xdr:from>
      <xdr:col>0</xdr:col>
      <xdr:colOff>0</xdr:colOff>
      <xdr:row>0</xdr:row>
      <xdr:rowOff>0</xdr:rowOff>
    </xdr:from>
    <xdr:to>
      <xdr:col>0</xdr:col>
      <xdr:colOff>546100</xdr:colOff>
      <xdr:row>2</xdr:row>
      <xdr:rowOff>158750</xdr:rowOff>
    </xdr:to>
    <xdr:pic>
      <xdr:nvPicPr>
        <xdr:cNvPr id="127" name="ID_543CEB5128D34C7B86B42FC8E8D28A51"/>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1811655" y="33114615"/>
          <a:ext cx="546100" cy="514350"/>
        </a:xfrm>
        <a:prstGeom prst="rect">
          <a:avLst/>
        </a:prstGeom>
      </xdr:spPr>
    </xdr:pic>
    <xdr:clientData/>
  </xdr:twoCellAnchor>
  <xdr:twoCellAnchor editAs="oneCell">
    <xdr:from>
      <xdr:col>0</xdr:col>
      <xdr:colOff>0</xdr:colOff>
      <xdr:row>0</xdr:row>
      <xdr:rowOff>0</xdr:rowOff>
    </xdr:from>
    <xdr:to>
      <xdr:col>0</xdr:col>
      <xdr:colOff>535940</xdr:colOff>
      <xdr:row>3</xdr:row>
      <xdr:rowOff>2540</xdr:rowOff>
    </xdr:to>
    <xdr:pic>
      <xdr:nvPicPr>
        <xdr:cNvPr id="133" name="ID_1535B9B984F542669E3F4CDECDF0E294"/>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1936750" y="34711640"/>
          <a:ext cx="535940" cy="535940"/>
        </a:xfrm>
        <a:prstGeom prst="rect">
          <a:avLst/>
        </a:prstGeom>
      </xdr:spPr>
    </xdr:pic>
    <xdr:clientData/>
  </xdr:twoCellAnchor>
  <xdr:twoCellAnchor editAs="oneCell">
    <xdr:from>
      <xdr:col>0</xdr:col>
      <xdr:colOff>0</xdr:colOff>
      <xdr:row>0</xdr:row>
      <xdr:rowOff>0</xdr:rowOff>
    </xdr:from>
    <xdr:to>
      <xdr:col>2</xdr:col>
      <xdr:colOff>59690</xdr:colOff>
      <xdr:row>9</xdr:row>
      <xdr:rowOff>61595</xdr:rowOff>
    </xdr:to>
    <xdr:pic>
      <xdr:nvPicPr>
        <xdr:cNvPr id="56" name="ID_61DBAB06EDD843C58C1E6223384F3397"/>
        <xdr:cNvPicPr>
          <a:picLocks noChangeAspect="1"/>
        </xdr:cNvPicPr>
      </xdr:nvPicPr>
      <xdr:blipFill>
        <a:blip r:embed="rId20" r:link="rId14"/>
        <a:stretch>
          <a:fillRect/>
        </a:stretch>
      </xdr:blipFill>
      <xdr:spPr>
        <a:xfrm>
          <a:off x="48701960" y="5952490"/>
          <a:ext cx="1316990" cy="1661795"/>
        </a:xfrm>
        <a:prstGeom prst="rect">
          <a:avLst/>
        </a:prstGeom>
        <a:noFill/>
        <a:ln w="9525">
          <a:noFill/>
        </a:ln>
      </xdr:spPr>
    </xdr:pic>
    <xdr:clientData/>
  </xdr:twoCellAnchor>
  <xdr:twoCellAnchor editAs="oneCell">
    <xdr:from>
      <xdr:col>0</xdr:col>
      <xdr:colOff>0</xdr:colOff>
      <xdr:row>0</xdr:row>
      <xdr:rowOff>0</xdr:rowOff>
    </xdr:from>
    <xdr:to>
      <xdr:col>1</xdr:col>
      <xdr:colOff>361950</xdr:colOff>
      <xdr:row>4</xdr:row>
      <xdr:rowOff>31750</xdr:rowOff>
    </xdr:to>
    <xdr:pic>
      <xdr:nvPicPr>
        <xdr:cNvPr id="8" name="ID_9C50E56DDEC94528A554EA7BD4B3D009" descr="2"/>
        <xdr:cNvPicPr/>
      </xdr:nvPicPr>
      <xdr:blipFill>
        <a:blip r:embed="rId5"/>
        <a:stretch>
          <a:fillRect/>
        </a:stretch>
      </xdr:blipFill>
      <xdr:spPr>
        <a:xfrm>
          <a:off x="0" y="0"/>
          <a:ext cx="990600" cy="742950"/>
        </a:xfrm>
        <a:prstGeom prst="rect">
          <a:avLst/>
        </a:prstGeom>
      </xdr:spPr>
    </xdr:pic>
    <xdr:clientData/>
  </xdr:twoCellAnchor>
  <xdr:twoCellAnchor editAs="oneCell">
    <xdr:from>
      <xdr:col>0</xdr:col>
      <xdr:colOff>0</xdr:colOff>
      <xdr:row>0</xdr:row>
      <xdr:rowOff>0</xdr:rowOff>
    </xdr:from>
    <xdr:to>
      <xdr:col>1</xdr:col>
      <xdr:colOff>114300</xdr:colOff>
      <xdr:row>6</xdr:row>
      <xdr:rowOff>171450</xdr:rowOff>
    </xdr:to>
    <xdr:pic>
      <xdr:nvPicPr>
        <xdr:cNvPr id="10" name="ID_BE08F6B6DF7240588BFC54C37756F96D" descr="4"/>
        <xdr:cNvPicPr/>
      </xdr:nvPicPr>
      <xdr:blipFill>
        <a:blip r:embed="rId21"/>
        <a:stretch>
          <a:fillRect/>
        </a:stretch>
      </xdr:blipFill>
      <xdr:spPr>
        <a:xfrm>
          <a:off x="0" y="0"/>
          <a:ext cx="742950" cy="1238250"/>
        </a:xfrm>
        <a:prstGeom prst="rect">
          <a:avLst/>
        </a:prstGeom>
      </xdr:spPr>
    </xdr:pic>
    <xdr:clientData/>
  </xdr:twoCellAnchor>
  <xdr:twoCellAnchor editAs="oneCell">
    <xdr:from>
      <xdr:col>0</xdr:col>
      <xdr:colOff>0</xdr:colOff>
      <xdr:row>0</xdr:row>
      <xdr:rowOff>0</xdr:rowOff>
    </xdr:from>
    <xdr:to>
      <xdr:col>1</xdr:col>
      <xdr:colOff>609600</xdr:colOff>
      <xdr:row>6</xdr:row>
      <xdr:rowOff>171450</xdr:rowOff>
    </xdr:to>
    <xdr:pic>
      <xdr:nvPicPr>
        <xdr:cNvPr id="11" name="ID_7B188A15CEE4435098041758FEC1AB6D" descr="3"/>
        <xdr:cNvPicPr/>
      </xdr:nvPicPr>
      <xdr:blipFill>
        <a:blip r:embed="rId22" r:link="rId14"/>
        <a:stretch>
          <a:fillRect/>
        </a:stretch>
      </xdr:blipFill>
      <xdr:spPr>
        <a:xfrm>
          <a:off x="0" y="0"/>
          <a:ext cx="1238250" cy="1238250"/>
        </a:xfrm>
        <a:prstGeom prst="rect">
          <a:avLst/>
        </a:prstGeom>
      </xdr:spPr>
    </xdr:pic>
    <xdr:clientData/>
  </xdr:twoCellAnchor>
  <xdr:twoCellAnchor editAs="oneCell">
    <xdr:from>
      <xdr:col>0</xdr:col>
      <xdr:colOff>0</xdr:colOff>
      <xdr:row>0</xdr:row>
      <xdr:rowOff>0</xdr:rowOff>
    </xdr:from>
    <xdr:to>
      <xdr:col>1</xdr:col>
      <xdr:colOff>361950</xdr:colOff>
      <xdr:row>4</xdr:row>
      <xdr:rowOff>31750</xdr:rowOff>
    </xdr:to>
    <xdr:pic>
      <xdr:nvPicPr>
        <xdr:cNvPr id="12" name="ID_E09602D611FD4790AEA1A082707EDC61" descr="2"/>
        <xdr:cNvPicPr/>
      </xdr:nvPicPr>
      <xdr:blipFill>
        <a:blip r:embed="rId5"/>
        <a:stretch>
          <a:fillRect/>
        </a:stretch>
      </xdr:blipFill>
      <xdr:spPr>
        <a:xfrm>
          <a:off x="0" y="0"/>
          <a:ext cx="990600" cy="742950"/>
        </a:xfrm>
        <a:prstGeom prst="rect">
          <a:avLst/>
        </a:prstGeom>
      </xdr:spPr>
    </xdr:pic>
    <xdr:clientData/>
  </xdr:twoCellAnchor>
  <xdr:twoCellAnchor editAs="oneCell">
    <xdr:from>
      <xdr:col>0</xdr:col>
      <xdr:colOff>0</xdr:colOff>
      <xdr:row>0</xdr:row>
      <xdr:rowOff>0</xdr:rowOff>
    </xdr:from>
    <xdr:to>
      <xdr:col>1</xdr:col>
      <xdr:colOff>114300</xdr:colOff>
      <xdr:row>4</xdr:row>
      <xdr:rowOff>31750</xdr:rowOff>
    </xdr:to>
    <xdr:pic>
      <xdr:nvPicPr>
        <xdr:cNvPr id="15" name="ID_4AEE9A02CA4F4AFE9B81D430DC91BCA1" descr="1"/>
        <xdr:cNvPicPr/>
      </xdr:nvPicPr>
      <xdr:blipFill>
        <a:blip r:embed="rId8"/>
        <a:stretch>
          <a:fillRect/>
        </a:stretch>
      </xdr:blipFill>
      <xdr:spPr>
        <a:xfrm>
          <a:off x="0" y="0"/>
          <a:ext cx="742950" cy="742950"/>
        </a:xfrm>
        <a:prstGeom prst="rect">
          <a:avLst/>
        </a:prstGeom>
      </xdr:spPr>
    </xdr:pic>
    <xdr:clientData/>
  </xdr:twoCellAnchor>
  <xdr:twoCellAnchor editAs="oneCell">
    <xdr:from>
      <xdr:col>0</xdr:col>
      <xdr:colOff>0</xdr:colOff>
      <xdr:row>0</xdr:row>
      <xdr:rowOff>0</xdr:rowOff>
    </xdr:from>
    <xdr:to>
      <xdr:col>1</xdr:col>
      <xdr:colOff>114300</xdr:colOff>
      <xdr:row>4</xdr:row>
      <xdr:rowOff>31750</xdr:rowOff>
    </xdr:to>
    <xdr:pic>
      <xdr:nvPicPr>
        <xdr:cNvPr id="17" name="ID_332BA67148914844AD8D7C153EC2616F" descr="5"/>
        <xdr:cNvPicPr/>
      </xdr:nvPicPr>
      <xdr:blipFill>
        <a:blip r:embed="rId23"/>
        <a:stretch>
          <a:fillRect/>
        </a:stretch>
      </xdr:blipFill>
      <xdr:spPr>
        <a:xfrm>
          <a:off x="0" y="0"/>
          <a:ext cx="742950" cy="742950"/>
        </a:xfrm>
        <a:prstGeom prst="rect">
          <a:avLst/>
        </a:prstGeom>
      </xdr:spPr>
    </xdr:pic>
    <xdr:clientData/>
  </xdr:twoCellAnchor>
  <xdr:twoCellAnchor editAs="oneCell">
    <xdr:from>
      <xdr:col>0</xdr:col>
      <xdr:colOff>0</xdr:colOff>
      <xdr:row>0</xdr:row>
      <xdr:rowOff>0</xdr:rowOff>
    </xdr:from>
    <xdr:to>
      <xdr:col>1</xdr:col>
      <xdr:colOff>114300</xdr:colOff>
      <xdr:row>4</xdr:row>
      <xdr:rowOff>31750</xdr:rowOff>
    </xdr:to>
    <xdr:pic>
      <xdr:nvPicPr>
        <xdr:cNvPr id="19" name="ID_352F057320394128B3AD79CE6B3F65E9" descr="5"/>
        <xdr:cNvPicPr/>
      </xdr:nvPicPr>
      <xdr:blipFill>
        <a:blip r:embed="rId23"/>
        <a:stretch>
          <a:fillRect/>
        </a:stretch>
      </xdr:blipFill>
      <xdr:spPr>
        <a:xfrm>
          <a:off x="0" y="0"/>
          <a:ext cx="742950" cy="742950"/>
        </a:xfrm>
        <a:prstGeom prst="rect">
          <a:avLst/>
        </a:prstGeom>
      </xdr:spPr>
    </xdr:pic>
    <xdr:clientData/>
  </xdr:twoCellAnchor>
  <xdr:twoCellAnchor editAs="oneCell">
    <xdr:from>
      <xdr:col>0</xdr:col>
      <xdr:colOff>0</xdr:colOff>
      <xdr:row>0</xdr:row>
      <xdr:rowOff>0</xdr:rowOff>
    </xdr:from>
    <xdr:to>
      <xdr:col>1</xdr:col>
      <xdr:colOff>361950</xdr:colOff>
      <xdr:row>4</xdr:row>
      <xdr:rowOff>31750</xdr:rowOff>
    </xdr:to>
    <xdr:pic>
      <xdr:nvPicPr>
        <xdr:cNvPr id="20" name="ID_73550FB06D014938AA281F0CF418BA23" descr="6"/>
        <xdr:cNvPicPr/>
      </xdr:nvPicPr>
      <xdr:blipFill>
        <a:blip r:embed="rId24" r:link="rId14"/>
        <a:stretch>
          <a:fillRect/>
        </a:stretch>
      </xdr:blipFill>
      <xdr:spPr>
        <a:xfrm>
          <a:off x="0" y="0"/>
          <a:ext cx="990600" cy="742950"/>
        </a:xfrm>
        <a:prstGeom prst="rect">
          <a:avLst/>
        </a:prstGeom>
      </xdr:spPr>
    </xdr:pic>
    <xdr:clientData/>
  </xdr:twoCellAnchor>
  <xdr:twoCellAnchor editAs="oneCell">
    <xdr:from>
      <xdr:col>0</xdr:col>
      <xdr:colOff>0</xdr:colOff>
      <xdr:row>0</xdr:row>
      <xdr:rowOff>0</xdr:rowOff>
    </xdr:from>
    <xdr:to>
      <xdr:col>1</xdr:col>
      <xdr:colOff>609600</xdr:colOff>
      <xdr:row>6</xdr:row>
      <xdr:rowOff>171450</xdr:rowOff>
    </xdr:to>
    <xdr:pic>
      <xdr:nvPicPr>
        <xdr:cNvPr id="21" name="ID_72A1113324084D7FAEE46898E1DF046E" descr="7"/>
        <xdr:cNvPicPr/>
      </xdr:nvPicPr>
      <xdr:blipFill>
        <a:blip r:embed="rId25"/>
        <a:stretch>
          <a:fillRect/>
        </a:stretch>
      </xdr:blipFill>
      <xdr:spPr>
        <a:xfrm>
          <a:off x="0" y="0"/>
          <a:ext cx="1238250" cy="1238250"/>
        </a:xfrm>
        <a:prstGeom prst="rect">
          <a:avLst/>
        </a:prstGeom>
      </xdr:spPr>
    </xdr:pic>
    <xdr:clientData/>
  </xdr:twoCellAnchor>
  <xdr:twoCellAnchor editAs="oneCell">
    <xdr:from>
      <xdr:col>0</xdr:col>
      <xdr:colOff>0</xdr:colOff>
      <xdr:row>0</xdr:row>
      <xdr:rowOff>0</xdr:rowOff>
    </xdr:from>
    <xdr:to>
      <xdr:col>1</xdr:col>
      <xdr:colOff>609600</xdr:colOff>
      <xdr:row>6</xdr:row>
      <xdr:rowOff>171450</xdr:rowOff>
    </xdr:to>
    <xdr:pic>
      <xdr:nvPicPr>
        <xdr:cNvPr id="23" name="ID_40C0CF1C9E304AD39D41100E3C91254C" descr="7"/>
        <xdr:cNvPicPr/>
      </xdr:nvPicPr>
      <xdr:blipFill>
        <a:blip r:embed="rId25"/>
        <a:stretch>
          <a:fillRect/>
        </a:stretch>
      </xdr:blipFill>
      <xdr:spPr>
        <a:xfrm>
          <a:off x="0" y="0"/>
          <a:ext cx="1238250" cy="1238250"/>
        </a:xfrm>
        <a:prstGeom prst="rect">
          <a:avLst/>
        </a:prstGeom>
      </xdr:spPr>
    </xdr:pic>
    <xdr:clientData/>
  </xdr:twoCellAnchor>
  <xdr:twoCellAnchor editAs="oneCell">
    <xdr:from>
      <xdr:col>0</xdr:col>
      <xdr:colOff>0</xdr:colOff>
      <xdr:row>0</xdr:row>
      <xdr:rowOff>0</xdr:rowOff>
    </xdr:from>
    <xdr:to>
      <xdr:col>2</xdr:col>
      <xdr:colOff>476250</xdr:colOff>
      <xdr:row>9</xdr:row>
      <xdr:rowOff>133350</xdr:rowOff>
    </xdr:to>
    <xdr:pic>
      <xdr:nvPicPr>
        <xdr:cNvPr id="25" name="ID_36D81C8AA6A1432D9D46CFAF43F6D505" descr="8"/>
        <xdr:cNvPicPr/>
      </xdr:nvPicPr>
      <xdr:blipFill>
        <a:blip r:embed="rId26"/>
        <a:stretch>
          <a:fillRect/>
        </a:stretch>
      </xdr:blipFill>
      <xdr:spPr>
        <a:xfrm>
          <a:off x="0" y="0"/>
          <a:ext cx="1733550" cy="1733550"/>
        </a:xfrm>
        <a:prstGeom prst="rect">
          <a:avLst/>
        </a:prstGeom>
      </xdr:spPr>
    </xdr:pic>
    <xdr:clientData/>
  </xdr:twoCellAnchor>
  <xdr:twoCellAnchor editAs="oneCell">
    <xdr:from>
      <xdr:col>0</xdr:col>
      <xdr:colOff>0</xdr:colOff>
      <xdr:row>0</xdr:row>
      <xdr:rowOff>0</xdr:rowOff>
    </xdr:from>
    <xdr:to>
      <xdr:col>1</xdr:col>
      <xdr:colOff>609600</xdr:colOff>
      <xdr:row>6</xdr:row>
      <xdr:rowOff>171450</xdr:rowOff>
    </xdr:to>
    <xdr:pic>
      <xdr:nvPicPr>
        <xdr:cNvPr id="26" name="ID_0752C98FF66649929CDC383BB4C9FA1D" descr="7"/>
        <xdr:cNvPicPr/>
      </xdr:nvPicPr>
      <xdr:blipFill>
        <a:blip r:embed="rId25"/>
        <a:stretch>
          <a:fillRect/>
        </a:stretch>
      </xdr:blipFill>
      <xdr:spPr>
        <a:xfrm>
          <a:off x="0" y="0"/>
          <a:ext cx="1238250" cy="1238250"/>
        </a:xfrm>
        <a:prstGeom prst="rect">
          <a:avLst/>
        </a:prstGeom>
      </xdr:spPr>
    </xdr:pic>
    <xdr:clientData/>
  </xdr:twoCellAnchor>
  <xdr:twoCellAnchor editAs="oneCell">
    <xdr:from>
      <xdr:col>0</xdr:col>
      <xdr:colOff>0</xdr:colOff>
      <xdr:row>0</xdr:row>
      <xdr:rowOff>0</xdr:rowOff>
    </xdr:from>
    <xdr:to>
      <xdr:col>1</xdr:col>
      <xdr:colOff>114300</xdr:colOff>
      <xdr:row>4</xdr:row>
      <xdr:rowOff>31750</xdr:rowOff>
    </xdr:to>
    <xdr:pic>
      <xdr:nvPicPr>
        <xdr:cNvPr id="27" name="ID_6728A2511B314E5EA9397174EF34DC45" descr="5"/>
        <xdr:cNvPicPr/>
      </xdr:nvPicPr>
      <xdr:blipFill>
        <a:blip r:embed="rId23"/>
        <a:stretch>
          <a:fillRect/>
        </a:stretch>
      </xdr:blipFill>
      <xdr:spPr>
        <a:xfrm>
          <a:off x="0" y="0"/>
          <a:ext cx="742950" cy="742950"/>
        </a:xfrm>
        <a:prstGeom prst="rect">
          <a:avLst/>
        </a:prstGeom>
      </xdr:spPr>
    </xdr:pic>
    <xdr:clientData/>
  </xdr:twoCellAnchor>
  <xdr:twoCellAnchor editAs="oneCell">
    <xdr:from>
      <xdr:col>0</xdr:col>
      <xdr:colOff>0</xdr:colOff>
      <xdr:row>0</xdr:row>
      <xdr:rowOff>0</xdr:rowOff>
    </xdr:from>
    <xdr:to>
      <xdr:col>1</xdr:col>
      <xdr:colOff>114300</xdr:colOff>
      <xdr:row>4</xdr:row>
      <xdr:rowOff>31750</xdr:rowOff>
    </xdr:to>
    <xdr:pic>
      <xdr:nvPicPr>
        <xdr:cNvPr id="28" name="ID_8D1D66EF3C8E4C4DA2C499BD98760604" descr="5"/>
        <xdr:cNvPicPr/>
      </xdr:nvPicPr>
      <xdr:blipFill>
        <a:blip r:embed="rId23"/>
        <a:stretch>
          <a:fillRect/>
        </a:stretch>
      </xdr:blipFill>
      <xdr:spPr>
        <a:xfrm>
          <a:off x="0" y="0"/>
          <a:ext cx="742950" cy="742950"/>
        </a:xfrm>
        <a:prstGeom prst="rect">
          <a:avLst/>
        </a:prstGeom>
      </xdr:spPr>
    </xdr:pic>
    <xdr:clientData/>
  </xdr:twoCellAnchor>
  <xdr:twoCellAnchor editAs="oneCell">
    <xdr:from>
      <xdr:col>0</xdr:col>
      <xdr:colOff>0</xdr:colOff>
      <xdr:row>0</xdr:row>
      <xdr:rowOff>0</xdr:rowOff>
    </xdr:from>
    <xdr:to>
      <xdr:col>0</xdr:col>
      <xdr:colOff>519430</xdr:colOff>
      <xdr:row>2</xdr:row>
      <xdr:rowOff>163830</xdr:rowOff>
    </xdr:to>
    <xdr:pic>
      <xdr:nvPicPr>
        <xdr:cNvPr id="2" name="ID_A223E8EC2451478EBFCD8AC675E40CF7" descr="距离2"/>
        <xdr:cNvPicPr>
          <a:picLocks noChangeAspect="1"/>
        </xdr:cNvPicPr>
      </xdr:nvPicPr>
      <xdr:blipFill>
        <a:blip r:embed="rId25"/>
        <a:stretch>
          <a:fillRect/>
        </a:stretch>
      </xdr:blipFill>
      <xdr:spPr>
        <a:xfrm>
          <a:off x="11889105" y="1889760"/>
          <a:ext cx="519430" cy="519430"/>
        </a:xfrm>
        <a:prstGeom prst="rect">
          <a:avLst/>
        </a:prstGeom>
      </xdr:spPr>
    </xdr:pic>
    <xdr:clientData/>
  </xdr:twoCellAnchor>
  <xdr:twoCellAnchor editAs="oneCell">
    <xdr:from>
      <xdr:col>0</xdr:col>
      <xdr:colOff>0</xdr:colOff>
      <xdr:row>0</xdr:row>
      <xdr:rowOff>0</xdr:rowOff>
    </xdr:from>
    <xdr:to>
      <xdr:col>0</xdr:col>
      <xdr:colOff>557530</xdr:colOff>
      <xdr:row>3</xdr:row>
      <xdr:rowOff>24765</xdr:rowOff>
    </xdr:to>
    <xdr:pic>
      <xdr:nvPicPr>
        <xdr:cNvPr id="9" name="ID_C620A616DE16435DA5AD923CCAA14C39"/>
        <xdr:cNvPicPr>
          <a:picLocks noChangeAspect="1"/>
        </xdr:cNvPicPr>
      </xdr:nvPicPr>
      <xdr:blipFill>
        <a:blip r:embed="rId27" r:link="rId14"/>
        <a:stretch>
          <a:fillRect/>
        </a:stretch>
      </xdr:blipFill>
      <xdr:spPr>
        <a:xfrm>
          <a:off x="1029335" y="10596880"/>
          <a:ext cx="557530" cy="558165"/>
        </a:xfrm>
        <a:prstGeom prst="rect">
          <a:avLst/>
        </a:prstGeom>
        <a:noFill/>
        <a:ln>
          <a:noFill/>
        </a:ln>
      </xdr:spPr>
    </xdr:pic>
    <xdr:clientData/>
  </xdr:twoCellAnchor>
  <xdr:twoCellAnchor editAs="oneCell">
    <xdr:from>
      <xdr:col>0</xdr:col>
      <xdr:colOff>0</xdr:colOff>
      <xdr:row>0</xdr:row>
      <xdr:rowOff>0</xdr:rowOff>
    </xdr:from>
    <xdr:to>
      <xdr:col>1</xdr:col>
      <xdr:colOff>80010</xdr:colOff>
      <xdr:row>2</xdr:row>
      <xdr:rowOff>175895</xdr:rowOff>
    </xdr:to>
    <xdr:pic>
      <xdr:nvPicPr>
        <xdr:cNvPr id="13" name="ID_2E8BCE7562C34FF7BF284F0BCDA13976" descr="速射手"/>
        <xdr:cNvPicPr>
          <a:picLocks noChangeAspect="1"/>
        </xdr:cNvPicPr>
      </xdr:nvPicPr>
      <xdr:blipFill>
        <a:blip r:embed="rId24" r:link="rId14"/>
        <a:stretch>
          <a:fillRect/>
        </a:stretch>
      </xdr:blipFill>
      <xdr:spPr>
        <a:xfrm>
          <a:off x="2720340" y="5905500"/>
          <a:ext cx="708660" cy="531495"/>
        </a:xfrm>
        <a:prstGeom prst="rect">
          <a:avLst/>
        </a:prstGeom>
      </xdr:spPr>
    </xdr:pic>
    <xdr:clientData/>
  </xdr:twoCellAnchor>
  <xdr:twoCellAnchor editAs="oneCell">
    <xdr:from>
      <xdr:col>0</xdr:col>
      <xdr:colOff>0</xdr:colOff>
      <xdr:row>0</xdr:row>
      <xdr:rowOff>0</xdr:rowOff>
    </xdr:from>
    <xdr:to>
      <xdr:col>0</xdr:col>
      <xdr:colOff>596900</xdr:colOff>
      <xdr:row>3</xdr:row>
      <xdr:rowOff>59690</xdr:rowOff>
    </xdr:to>
    <xdr:pic>
      <xdr:nvPicPr>
        <xdr:cNvPr id="29" name="ID_7CD15F74743E46FAAA8DE619E7F60A33"/>
        <xdr:cNvPicPr>
          <a:picLocks noChangeAspect="1"/>
        </xdr:cNvPicPr>
      </xdr:nvPicPr>
      <xdr:blipFill>
        <a:blip r:embed="rId28" r:link="rId14"/>
        <a:stretch>
          <a:fillRect/>
        </a:stretch>
      </xdr:blipFill>
      <xdr:spPr>
        <a:xfrm>
          <a:off x="4067810" y="10584180"/>
          <a:ext cx="596900" cy="593090"/>
        </a:xfrm>
        <a:prstGeom prst="rect">
          <a:avLst/>
        </a:prstGeom>
        <a:noFill/>
        <a:ln>
          <a:noFill/>
        </a:ln>
      </xdr:spPr>
    </xdr:pic>
    <xdr:clientData/>
  </xdr:twoCellAnchor>
  <xdr:twoCellAnchor editAs="oneCell">
    <xdr:from>
      <xdr:col>0</xdr:col>
      <xdr:colOff>0</xdr:colOff>
      <xdr:row>0</xdr:row>
      <xdr:rowOff>0</xdr:rowOff>
    </xdr:from>
    <xdr:to>
      <xdr:col>0</xdr:col>
      <xdr:colOff>600075</xdr:colOff>
      <xdr:row>3</xdr:row>
      <xdr:rowOff>68580</xdr:rowOff>
    </xdr:to>
    <xdr:pic>
      <xdr:nvPicPr>
        <xdr:cNvPr id="30" name="ID_B1E05786129C4C0B95CD63EAAEAF3BEF" descr="探戈"/>
        <xdr:cNvPicPr>
          <a:picLocks noChangeAspect="1"/>
        </xdr:cNvPicPr>
      </xdr:nvPicPr>
      <xdr:blipFill>
        <a:blip r:embed="rId29"/>
        <a:stretch>
          <a:fillRect/>
        </a:stretch>
      </xdr:blipFill>
      <xdr:spPr>
        <a:xfrm>
          <a:off x="11729720" y="5920740"/>
          <a:ext cx="600075" cy="601980"/>
        </a:xfrm>
        <a:prstGeom prst="rect">
          <a:avLst/>
        </a:prstGeom>
      </xdr:spPr>
    </xdr:pic>
    <xdr:clientData/>
  </xdr:twoCellAnchor>
  <xdr:twoCellAnchor editAs="oneCell">
    <xdr:from>
      <xdr:col>0</xdr:col>
      <xdr:colOff>0</xdr:colOff>
      <xdr:row>0</xdr:row>
      <xdr:rowOff>0</xdr:rowOff>
    </xdr:from>
    <xdr:to>
      <xdr:col>0</xdr:col>
      <xdr:colOff>586105</xdr:colOff>
      <xdr:row>3</xdr:row>
      <xdr:rowOff>50165</xdr:rowOff>
    </xdr:to>
    <xdr:pic>
      <xdr:nvPicPr>
        <xdr:cNvPr id="32" name="ID_708F5A04DB7D478A9F095970DBE381BC"/>
        <xdr:cNvPicPr>
          <a:picLocks noChangeAspect="1"/>
        </xdr:cNvPicPr>
      </xdr:nvPicPr>
      <xdr:blipFill>
        <a:blip r:embed="rId30" r:link="rId14"/>
        <a:stretch>
          <a:fillRect/>
        </a:stretch>
      </xdr:blipFill>
      <xdr:spPr>
        <a:xfrm>
          <a:off x="1021080" y="10373360"/>
          <a:ext cx="586105" cy="583565"/>
        </a:xfrm>
        <a:prstGeom prst="rect">
          <a:avLst/>
        </a:prstGeom>
        <a:noFill/>
        <a:ln>
          <a:noFill/>
        </a:ln>
      </xdr:spPr>
    </xdr:pic>
    <xdr:clientData/>
  </xdr:twoCellAnchor>
  <xdr:twoCellAnchor editAs="oneCell">
    <xdr:from>
      <xdr:col>0</xdr:col>
      <xdr:colOff>0</xdr:colOff>
      <xdr:row>0</xdr:row>
      <xdr:rowOff>0</xdr:rowOff>
    </xdr:from>
    <xdr:to>
      <xdr:col>1</xdr:col>
      <xdr:colOff>113030</xdr:colOff>
      <xdr:row>4</xdr:row>
      <xdr:rowOff>23495</xdr:rowOff>
    </xdr:to>
    <xdr:pic>
      <xdr:nvPicPr>
        <xdr:cNvPr id="31" name="ID_4DA85EF7DBBC423494A691E5A7349D9A" descr="3乘3"/>
        <xdr:cNvPicPr>
          <a:picLocks noChangeAspect="1"/>
        </xdr:cNvPicPr>
      </xdr:nvPicPr>
      <xdr:blipFill>
        <a:blip r:embed="rId23"/>
        <a:stretch>
          <a:fillRect/>
        </a:stretch>
      </xdr:blipFill>
      <xdr:spPr>
        <a:xfrm>
          <a:off x="11862435" y="1127125"/>
          <a:ext cx="741680" cy="734695"/>
        </a:xfrm>
        <a:prstGeom prst="rect">
          <a:avLst/>
        </a:prstGeom>
      </xdr:spPr>
    </xdr:pic>
    <xdr:clientData/>
  </xdr:twoCellAnchor>
  <xdr:twoCellAnchor editAs="oneCell">
    <xdr:from>
      <xdr:col>0</xdr:col>
      <xdr:colOff>0</xdr:colOff>
      <xdr:row>0</xdr:row>
      <xdr:rowOff>0</xdr:rowOff>
    </xdr:from>
    <xdr:to>
      <xdr:col>1</xdr:col>
      <xdr:colOff>611505</xdr:colOff>
      <xdr:row>6</xdr:row>
      <xdr:rowOff>163830</xdr:rowOff>
    </xdr:to>
    <xdr:pic>
      <xdr:nvPicPr>
        <xdr:cNvPr id="33" name="ID_4D09369D8C254A39AC008E51A5813136" descr="周围12格"/>
        <xdr:cNvPicPr>
          <a:picLocks noChangeAspect="1"/>
        </xdr:cNvPicPr>
      </xdr:nvPicPr>
      <xdr:blipFill>
        <a:blip r:embed="rId22" r:link="rId14"/>
        <a:stretch>
          <a:fillRect/>
        </a:stretch>
      </xdr:blipFill>
      <xdr:spPr>
        <a:xfrm>
          <a:off x="8793480" y="4034790"/>
          <a:ext cx="1240155" cy="1230630"/>
        </a:xfrm>
        <a:prstGeom prst="rect">
          <a:avLst/>
        </a:prstGeom>
      </xdr:spPr>
    </xdr:pic>
    <xdr:clientData/>
  </xdr:twoCellAnchor>
  <xdr:twoCellAnchor editAs="oneCell">
    <xdr:from>
      <xdr:col>0</xdr:col>
      <xdr:colOff>0</xdr:colOff>
      <xdr:row>0</xdr:row>
      <xdr:rowOff>0</xdr:rowOff>
    </xdr:from>
    <xdr:to>
      <xdr:col>2</xdr:col>
      <xdr:colOff>231140</xdr:colOff>
      <xdr:row>1</xdr:row>
      <xdr:rowOff>66675</xdr:rowOff>
    </xdr:to>
    <xdr:pic>
      <xdr:nvPicPr>
        <xdr:cNvPr id="34" name="ID_AC6EBA99344C43179B94640CF550E68D" descr="5乘1"/>
        <xdr:cNvPicPr>
          <a:picLocks noChangeAspect="1"/>
        </xdr:cNvPicPr>
      </xdr:nvPicPr>
      <xdr:blipFill>
        <a:blip r:embed="rId31"/>
        <a:stretch>
          <a:fillRect/>
        </a:stretch>
      </xdr:blipFill>
      <xdr:spPr>
        <a:xfrm>
          <a:off x="5728335" y="3425825"/>
          <a:ext cx="1488440" cy="244475"/>
        </a:xfrm>
        <a:prstGeom prst="rect">
          <a:avLst/>
        </a:prstGeom>
      </xdr:spPr>
    </xdr:pic>
    <xdr:clientData/>
  </xdr:twoCellAnchor>
  <xdr:twoCellAnchor editAs="oneCell">
    <xdr:from>
      <xdr:col>0</xdr:col>
      <xdr:colOff>0</xdr:colOff>
      <xdr:row>0</xdr:row>
      <xdr:rowOff>0</xdr:rowOff>
    </xdr:from>
    <xdr:to>
      <xdr:col>1</xdr:col>
      <xdr:colOff>611505</xdr:colOff>
      <xdr:row>6</xdr:row>
      <xdr:rowOff>160655</xdr:rowOff>
    </xdr:to>
    <xdr:pic>
      <xdr:nvPicPr>
        <xdr:cNvPr id="36" name="ID_EAE70A7B83884CF885EC1EE078CC6FDB" descr="投掷手"/>
        <xdr:cNvPicPr>
          <a:picLocks noChangeAspect="1"/>
        </xdr:cNvPicPr>
      </xdr:nvPicPr>
      <xdr:blipFill>
        <a:blip r:embed="rId32"/>
        <a:stretch>
          <a:fillRect/>
        </a:stretch>
      </xdr:blipFill>
      <xdr:spPr>
        <a:xfrm>
          <a:off x="11862435" y="3425825"/>
          <a:ext cx="1240155" cy="1227455"/>
        </a:xfrm>
        <a:prstGeom prst="rect">
          <a:avLst/>
        </a:prstGeom>
      </xdr:spPr>
    </xdr:pic>
    <xdr:clientData/>
  </xdr:twoCellAnchor>
  <xdr:twoCellAnchor editAs="oneCell">
    <xdr:from>
      <xdr:col>0</xdr:col>
      <xdr:colOff>0</xdr:colOff>
      <xdr:row>0</xdr:row>
      <xdr:rowOff>0</xdr:rowOff>
    </xdr:from>
    <xdr:to>
      <xdr:col>1</xdr:col>
      <xdr:colOff>362585</xdr:colOff>
      <xdr:row>6</xdr:row>
      <xdr:rowOff>163195</xdr:rowOff>
    </xdr:to>
    <xdr:pic>
      <xdr:nvPicPr>
        <xdr:cNvPr id="37" name="ID_BFFED469CEEA4E5693156E4AB12B41C6" descr="行医"/>
        <xdr:cNvPicPr>
          <a:picLocks noChangeAspect="1"/>
        </xdr:cNvPicPr>
      </xdr:nvPicPr>
      <xdr:blipFill>
        <a:blip r:embed="rId20" r:link="rId14"/>
        <a:stretch>
          <a:fillRect/>
        </a:stretch>
      </xdr:blipFill>
      <xdr:spPr>
        <a:xfrm>
          <a:off x="2659380" y="5723255"/>
          <a:ext cx="991235" cy="1229995"/>
        </a:xfrm>
        <a:prstGeom prst="rect">
          <a:avLst/>
        </a:prstGeom>
      </xdr:spPr>
    </xdr:pic>
    <xdr:clientData/>
  </xdr:twoCellAnchor>
  <xdr:twoCellAnchor editAs="oneCell">
    <xdr:from>
      <xdr:col>0</xdr:col>
      <xdr:colOff>0</xdr:colOff>
      <xdr:row>0</xdr:row>
      <xdr:rowOff>0</xdr:rowOff>
    </xdr:from>
    <xdr:to>
      <xdr:col>0</xdr:col>
      <xdr:colOff>577215</xdr:colOff>
      <xdr:row>3</xdr:row>
      <xdr:rowOff>50800</xdr:rowOff>
    </xdr:to>
    <xdr:pic>
      <xdr:nvPicPr>
        <xdr:cNvPr id="39" name="ID_086579A3AB35453491C9C26B7DB57C3A"/>
        <xdr:cNvPicPr>
          <a:picLocks noChangeAspect="1"/>
        </xdr:cNvPicPr>
      </xdr:nvPicPr>
      <xdr:blipFill>
        <a:blip r:embed="rId33" r:link="rId14"/>
        <a:stretch>
          <a:fillRect/>
        </a:stretch>
      </xdr:blipFill>
      <xdr:spPr>
        <a:xfrm>
          <a:off x="8797290" y="8074025"/>
          <a:ext cx="577215" cy="584200"/>
        </a:xfrm>
        <a:prstGeom prst="rect">
          <a:avLst/>
        </a:prstGeom>
        <a:noFill/>
        <a:ln>
          <a:noFill/>
        </a:ln>
      </xdr:spPr>
    </xdr:pic>
    <xdr:clientData/>
  </xdr:twoCellAnchor>
  <xdr:twoCellAnchor editAs="oneCell">
    <xdr:from>
      <xdr:col>0</xdr:col>
      <xdr:colOff>0</xdr:colOff>
      <xdr:row>0</xdr:row>
      <xdr:rowOff>0</xdr:rowOff>
    </xdr:from>
    <xdr:to>
      <xdr:col>1</xdr:col>
      <xdr:colOff>605155</xdr:colOff>
      <xdr:row>6</xdr:row>
      <xdr:rowOff>176530</xdr:rowOff>
    </xdr:to>
    <xdr:pic>
      <xdr:nvPicPr>
        <xdr:cNvPr id="35" name="ID_B3A491DE7E8941C6A0241DBE0FC44504" descr="5乘5去4"/>
        <xdr:cNvPicPr>
          <a:picLocks noChangeAspect="1"/>
        </xdr:cNvPicPr>
      </xdr:nvPicPr>
      <xdr:blipFill>
        <a:blip r:embed="rId25"/>
        <a:stretch>
          <a:fillRect/>
        </a:stretch>
      </xdr:blipFill>
      <xdr:spPr>
        <a:xfrm>
          <a:off x="5731510" y="3420745"/>
          <a:ext cx="1233805" cy="1243330"/>
        </a:xfrm>
        <a:prstGeom prst="rect">
          <a:avLst/>
        </a:prstGeom>
      </xdr:spPr>
    </xdr:pic>
    <xdr:clientData/>
  </xdr:twoCellAnchor>
  <xdr:twoCellAnchor editAs="oneCell">
    <xdr:from>
      <xdr:col>0</xdr:col>
      <xdr:colOff>0</xdr:colOff>
      <xdr:row>0</xdr:row>
      <xdr:rowOff>0</xdr:rowOff>
    </xdr:from>
    <xdr:to>
      <xdr:col>0</xdr:col>
      <xdr:colOff>361950</xdr:colOff>
      <xdr:row>2</xdr:row>
      <xdr:rowOff>6350</xdr:rowOff>
    </xdr:to>
    <xdr:pic>
      <xdr:nvPicPr>
        <xdr:cNvPr id="40" name="ID_ACC15541812E4B109706FB64626B1893"/>
        <xdr:cNvPicPr>
          <a:picLocks noChangeAspect="1"/>
        </xdr:cNvPicPr>
      </xdr:nvPicPr>
      <xdr:blipFill>
        <a:blip r:embed="rId34" r:link="rId14"/>
        <a:stretch>
          <a:fillRect/>
        </a:stretch>
      </xdr:blipFill>
      <xdr:spPr>
        <a:xfrm>
          <a:off x="15151100" y="8013700"/>
          <a:ext cx="361950" cy="361950"/>
        </a:xfrm>
        <a:prstGeom prst="rect">
          <a:avLst/>
        </a:prstGeom>
        <a:noFill/>
        <a:ln w="9525">
          <a:noFill/>
        </a:ln>
      </xdr:spPr>
    </xdr:pic>
    <xdr:clientData/>
  </xdr:twoCellAnchor>
  <xdr:twoCellAnchor editAs="oneCell">
    <xdr:from>
      <xdr:col>0</xdr:col>
      <xdr:colOff>0</xdr:colOff>
      <xdr:row>0</xdr:row>
      <xdr:rowOff>0</xdr:rowOff>
    </xdr:from>
    <xdr:to>
      <xdr:col>1</xdr:col>
      <xdr:colOff>605155</xdr:colOff>
      <xdr:row>6</xdr:row>
      <xdr:rowOff>175260</xdr:rowOff>
    </xdr:to>
    <xdr:pic>
      <xdr:nvPicPr>
        <xdr:cNvPr id="41" name="ID_9F2FD3ED9CB04CBFAA4019308646EBF0" descr="圣域"/>
        <xdr:cNvPicPr>
          <a:picLocks noChangeAspect="1"/>
        </xdr:cNvPicPr>
      </xdr:nvPicPr>
      <xdr:blipFill>
        <a:blip r:embed="rId35"/>
        <a:stretch>
          <a:fillRect/>
        </a:stretch>
      </xdr:blipFill>
      <xdr:spPr>
        <a:xfrm>
          <a:off x="11865610" y="5720715"/>
          <a:ext cx="1233805" cy="1242060"/>
        </a:xfrm>
        <a:prstGeom prst="rect">
          <a:avLst/>
        </a:prstGeom>
      </xdr:spPr>
    </xdr:pic>
    <xdr:clientData/>
  </xdr:twoCellAnchor>
  <xdr:twoCellAnchor editAs="oneCell">
    <xdr:from>
      <xdr:col>0</xdr:col>
      <xdr:colOff>0</xdr:colOff>
      <xdr:row>0</xdr:row>
      <xdr:rowOff>0</xdr:rowOff>
    </xdr:from>
    <xdr:to>
      <xdr:col>0</xdr:col>
      <xdr:colOff>537210</xdr:colOff>
      <xdr:row>3</xdr:row>
      <xdr:rowOff>4445</xdr:rowOff>
    </xdr:to>
    <xdr:pic>
      <xdr:nvPicPr>
        <xdr:cNvPr id="42" name="ID_8C05BDD051CD4B0C8CB42C78E22EF568"/>
        <xdr:cNvPicPr>
          <a:picLocks noChangeAspect="1"/>
        </xdr:cNvPicPr>
      </xdr:nvPicPr>
      <xdr:blipFill>
        <a:blip r:embed="rId36" r:link="rId14"/>
        <a:stretch>
          <a:fillRect/>
        </a:stretch>
      </xdr:blipFill>
      <xdr:spPr>
        <a:xfrm>
          <a:off x="1021080" y="10420350"/>
          <a:ext cx="537210" cy="537845"/>
        </a:xfrm>
        <a:prstGeom prst="rect">
          <a:avLst/>
        </a:prstGeom>
        <a:noFill/>
        <a:ln>
          <a:noFill/>
        </a:ln>
      </xdr:spPr>
    </xdr:pic>
    <xdr:clientData/>
  </xdr:twoCellAnchor>
  <xdr:twoCellAnchor editAs="oneCell">
    <xdr:from>
      <xdr:col>0</xdr:col>
      <xdr:colOff>0</xdr:colOff>
      <xdr:row>0</xdr:row>
      <xdr:rowOff>0</xdr:rowOff>
    </xdr:from>
    <xdr:to>
      <xdr:col>1</xdr:col>
      <xdr:colOff>100965</xdr:colOff>
      <xdr:row>4</xdr:row>
      <xdr:rowOff>19050</xdr:rowOff>
    </xdr:to>
    <xdr:pic>
      <xdr:nvPicPr>
        <xdr:cNvPr id="43" name="ID_8B7D284C69374EDDBB980F4407FCC5FA"/>
        <xdr:cNvPicPr>
          <a:picLocks noChangeAspect="1"/>
        </xdr:cNvPicPr>
      </xdr:nvPicPr>
      <xdr:blipFill>
        <a:blip r:embed="rId37" r:link="rId14"/>
        <a:stretch>
          <a:fillRect/>
        </a:stretch>
      </xdr:blipFill>
      <xdr:spPr>
        <a:xfrm>
          <a:off x="2839720" y="10476865"/>
          <a:ext cx="729615" cy="730250"/>
        </a:xfrm>
        <a:prstGeom prst="rect">
          <a:avLst/>
        </a:prstGeom>
        <a:noFill/>
        <a:ln>
          <a:noFill/>
        </a:ln>
      </xdr:spPr>
    </xdr:pic>
    <xdr:clientData/>
  </xdr:twoCellAnchor>
  <xdr:twoCellAnchor editAs="oneCell">
    <xdr:from>
      <xdr:col>0</xdr:col>
      <xdr:colOff>0</xdr:colOff>
      <xdr:row>0</xdr:row>
      <xdr:rowOff>0</xdr:rowOff>
    </xdr:from>
    <xdr:to>
      <xdr:col>1</xdr:col>
      <xdr:colOff>38735</xdr:colOff>
      <xdr:row>3</xdr:row>
      <xdr:rowOff>130810</xdr:rowOff>
    </xdr:to>
    <xdr:pic>
      <xdr:nvPicPr>
        <xdr:cNvPr id="44" name="ID_F3AFEE223CA74EBC9DC67BEE17AE66C7" descr="中心32"/>
        <xdr:cNvPicPr>
          <a:picLocks noChangeAspect="1"/>
        </xdr:cNvPicPr>
      </xdr:nvPicPr>
      <xdr:blipFill>
        <a:blip r:embed="rId38"/>
        <a:stretch>
          <a:fillRect/>
        </a:stretch>
      </xdr:blipFill>
      <xdr:spPr>
        <a:xfrm>
          <a:off x="20201890" y="6649085"/>
          <a:ext cx="667385" cy="664210"/>
        </a:xfrm>
        <a:prstGeom prst="rect">
          <a:avLst/>
        </a:prstGeom>
      </xdr:spPr>
    </xdr:pic>
    <xdr:clientData/>
  </xdr:twoCellAnchor>
  <xdr:twoCellAnchor editAs="oneCell">
    <xdr:from>
      <xdr:col>0</xdr:col>
      <xdr:colOff>0</xdr:colOff>
      <xdr:row>0</xdr:row>
      <xdr:rowOff>0</xdr:rowOff>
    </xdr:from>
    <xdr:to>
      <xdr:col>0</xdr:col>
      <xdr:colOff>597535</xdr:colOff>
      <xdr:row>3</xdr:row>
      <xdr:rowOff>67310</xdr:rowOff>
    </xdr:to>
    <xdr:pic>
      <xdr:nvPicPr>
        <xdr:cNvPr id="46" name="ID_93F3FB644C0745119C79A8F3FA48C434"/>
        <xdr:cNvPicPr>
          <a:picLocks noChangeAspect="1"/>
        </xdr:cNvPicPr>
      </xdr:nvPicPr>
      <xdr:blipFill>
        <a:blip r:embed="rId39" r:link="rId14"/>
        <a:stretch>
          <a:fillRect/>
        </a:stretch>
      </xdr:blipFill>
      <xdr:spPr>
        <a:xfrm>
          <a:off x="1033145" y="10434955"/>
          <a:ext cx="597535" cy="600710"/>
        </a:xfrm>
        <a:prstGeom prst="rect">
          <a:avLst/>
        </a:prstGeom>
        <a:noFill/>
        <a:ln>
          <a:noFill/>
        </a:ln>
      </xdr:spPr>
    </xdr:pic>
    <xdr:clientData/>
  </xdr:twoCellAnchor>
  <xdr:twoCellAnchor editAs="oneCell">
    <xdr:from>
      <xdr:col>0</xdr:col>
      <xdr:colOff>0</xdr:colOff>
      <xdr:row>0</xdr:row>
      <xdr:rowOff>0</xdr:rowOff>
    </xdr:from>
    <xdr:to>
      <xdr:col>0</xdr:col>
      <xdr:colOff>583565</xdr:colOff>
      <xdr:row>3</xdr:row>
      <xdr:rowOff>54610</xdr:rowOff>
    </xdr:to>
    <xdr:pic>
      <xdr:nvPicPr>
        <xdr:cNvPr id="47" name="ID_2C838D56930647D499947BDBEBC93998" descr="阶梯2"/>
        <xdr:cNvPicPr>
          <a:picLocks noChangeAspect="1"/>
        </xdr:cNvPicPr>
      </xdr:nvPicPr>
      <xdr:blipFill>
        <a:blip r:embed="rId22" r:link="rId14"/>
        <a:stretch>
          <a:fillRect/>
        </a:stretch>
      </xdr:blipFill>
      <xdr:spPr>
        <a:xfrm>
          <a:off x="2827020" y="10377170"/>
          <a:ext cx="583565" cy="588010"/>
        </a:xfrm>
        <a:prstGeom prst="rect">
          <a:avLst/>
        </a:prstGeom>
      </xdr:spPr>
    </xdr:pic>
    <xdr:clientData/>
  </xdr:twoCellAnchor>
  <xdr:twoCellAnchor editAs="oneCell">
    <xdr:from>
      <xdr:col>0</xdr:col>
      <xdr:colOff>0</xdr:colOff>
      <xdr:row>0</xdr:row>
      <xdr:rowOff>0</xdr:rowOff>
    </xdr:from>
    <xdr:to>
      <xdr:col>0</xdr:col>
      <xdr:colOff>534670</xdr:colOff>
      <xdr:row>3</xdr:row>
      <xdr:rowOff>1270</xdr:rowOff>
    </xdr:to>
    <xdr:pic>
      <xdr:nvPicPr>
        <xdr:cNvPr id="49" name="ID_1B32C14E9F9C4B27B3DB7816969A0039" descr="投掷手"/>
        <xdr:cNvPicPr>
          <a:picLocks noChangeAspect="1"/>
        </xdr:cNvPicPr>
      </xdr:nvPicPr>
      <xdr:blipFill>
        <a:blip r:embed="rId32"/>
        <a:stretch>
          <a:fillRect/>
        </a:stretch>
      </xdr:blipFill>
      <xdr:spPr>
        <a:xfrm>
          <a:off x="8969375" y="1160145"/>
          <a:ext cx="534670" cy="534670"/>
        </a:xfrm>
        <a:prstGeom prst="rect">
          <a:avLst/>
        </a:prstGeom>
      </xdr:spPr>
    </xdr:pic>
    <xdr:clientData/>
  </xdr:twoCellAnchor>
  <xdr:twoCellAnchor editAs="oneCell">
    <xdr:from>
      <xdr:col>0</xdr:col>
      <xdr:colOff>0</xdr:colOff>
      <xdr:row>0</xdr:row>
      <xdr:rowOff>0</xdr:rowOff>
    </xdr:from>
    <xdr:to>
      <xdr:col>1</xdr:col>
      <xdr:colOff>609600</xdr:colOff>
      <xdr:row>6</xdr:row>
      <xdr:rowOff>171450</xdr:rowOff>
    </xdr:to>
    <xdr:pic>
      <xdr:nvPicPr>
        <xdr:cNvPr id="50" name="ID_95BDDFAFD3144E6CB47CF1022FDAD269" descr="距离2"/>
        <xdr:cNvPicPr>
          <a:picLocks noChangeAspect="1"/>
        </xdr:cNvPicPr>
      </xdr:nvPicPr>
      <xdr:blipFill>
        <a:blip r:embed="rId25"/>
        <a:stretch>
          <a:fillRect/>
        </a:stretch>
      </xdr:blipFill>
      <xdr:spPr>
        <a:xfrm>
          <a:off x="2613660" y="3423920"/>
          <a:ext cx="1238250" cy="1238250"/>
        </a:xfrm>
        <a:prstGeom prst="rect">
          <a:avLst/>
        </a:prstGeom>
      </xdr:spPr>
    </xdr:pic>
    <xdr:clientData/>
  </xdr:twoCellAnchor>
  <xdr:twoCellAnchor editAs="oneCell">
    <xdr:from>
      <xdr:col>0</xdr:col>
      <xdr:colOff>0</xdr:colOff>
      <xdr:row>0</xdr:row>
      <xdr:rowOff>0</xdr:rowOff>
    </xdr:from>
    <xdr:to>
      <xdr:col>1</xdr:col>
      <xdr:colOff>72390</xdr:colOff>
      <xdr:row>2</xdr:row>
      <xdr:rowOff>170180</xdr:rowOff>
    </xdr:to>
    <xdr:pic>
      <xdr:nvPicPr>
        <xdr:cNvPr id="51" name="ID_F7AD6FBB1CC54AECBDFCDBFA6BE6CA38" descr="秘术师"/>
        <xdr:cNvPicPr>
          <a:picLocks noChangeAspect="1"/>
        </xdr:cNvPicPr>
      </xdr:nvPicPr>
      <xdr:blipFill>
        <a:blip r:embed="rId40"/>
        <a:stretch>
          <a:fillRect/>
        </a:stretch>
      </xdr:blipFill>
      <xdr:spPr>
        <a:xfrm>
          <a:off x="2750820" y="5798820"/>
          <a:ext cx="701040" cy="525780"/>
        </a:xfrm>
        <a:prstGeom prst="rect">
          <a:avLst/>
        </a:prstGeom>
      </xdr:spPr>
    </xdr:pic>
    <xdr:clientData/>
  </xdr:twoCellAnchor>
  <xdr:twoCellAnchor editAs="oneCell">
    <xdr:from>
      <xdr:col>0</xdr:col>
      <xdr:colOff>0</xdr:colOff>
      <xdr:row>0</xdr:row>
      <xdr:rowOff>0</xdr:rowOff>
    </xdr:from>
    <xdr:to>
      <xdr:col>1</xdr:col>
      <xdr:colOff>605155</xdr:colOff>
      <xdr:row>6</xdr:row>
      <xdr:rowOff>173355</xdr:rowOff>
    </xdr:to>
    <xdr:pic>
      <xdr:nvPicPr>
        <xdr:cNvPr id="52" name="ID_AD63FF364B0D4B8CAACC6E325B4DE005" descr="镜花水月"/>
        <xdr:cNvPicPr>
          <a:picLocks noChangeAspect="1"/>
        </xdr:cNvPicPr>
      </xdr:nvPicPr>
      <xdr:blipFill>
        <a:blip r:embed="rId35"/>
        <a:stretch>
          <a:fillRect/>
        </a:stretch>
      </xdr:blipFill>
      <xdr:spPr>
        <a:xfrm>
          <a:off x="5731510" y="8020050"/>
          <a:ext cx="1233805" cy="1240155"/>
        </a:xfrm>
        <a:prstGeom prst="rect">
          <a:avLst/>
        </a:prstGeom>
      </xdr:spPr>
    </xdr:pic>
    <xdr:clientData/>
  </xdr:twoCellAnchor>
  <xdr:twoCellAnchor editAs="oneCell">
    <xdr:from>
      <xdr:col>0</xdr:col>
      <xdr:colOff>0</xdr:colOff>
      <xdr:row>0</xdr:row>
      <xdr:rowOff>0</xdr:rowOff>
    </xdr:from>
    <xdr:to>
      <xdr:col>1</xdr:col>
      <xdr:colOff>603885</xdr:colOff>
      <xdr:row>4</xdr:row>
      <xdr:rowOff>33655</xdr:rowOff>
    </xdr:to>
    <xdr:pic>
      <xdr:nvPicPr>
        <xdr:cNvPr id="53" name="ID_FCF9FE4B7C544D50897A75B2EDB1D3A2" descr="身前3乘5"/>
        <xdr:cNvPicPr>
          <a:picLocks noChangeAspect="1"/>
        </xdr:cNvPicPr>
      </xdr:nvPicPr>
      <xdr:blipFill>
        <a:blip r:embed="rId41"/>
        <a:stretch>
          <a:fillRect/>
        </a:stretch>
      </xdr:blipFill>
      <xdr:spPr>
        <a:xfrm>
          <a:off x="2665730" y="5720715"/>
          <a:ext cx="1232535" cy="744855"/>
        </a:xfrm>
        <a:prstGeom prst="rect">
          <a:avLst/>
        </a:prstGeom>
      </xdr:spPr>
    </xdr:pic>
    <xdr:clientData/>
  </xdr:twoCellAnchor>
  <xdr:twoCellAnchor editAs="oneCell">
    <xdr:from>
      <xdr:col>0</xdr:col>
      <xdr:colOff>0</xdr:colOff>
      <xdr:row>0</xdr:row>
      <xdr:rowOff>0</xdr:rowOff>
    </xdr:from>
    <xdr:to>
      <xdr:col>1</xdr:col>
      <xdr:colOff>361950</xdr:colOff>
      <xdr:row>5</xdr:row>
      <xdr:rowOff>101600</xdr:rowOff>
    </xdr:to>
    <xdr:pic>
      <xdr:nvPicPr>
        <xdr:cNvPr id="54" name="ID_5D365D682E45441DA6E06D89CEDA661D" descr="upload_post_object_v2_2030158078"/>
        <xdr:cNvPicPr/>
      </xdr:nvPicPr>
      <xdr:blipFill>
        <a:blip r:embed="rId25"/>
        <a:stretch>
          <a:fillRect/>
        </a:stretch>
      </xdr:blipFill>
      <xdr:spPr>
        <a:xfrm>
          <a:off x="0" y="0"/>
          <a:ext cx="990600" cy="990600"/>
        </a:xfrm>
        <a:prstGeom prst="rect">
          <a:avLst/>
        </a:prstGeom>
      </xdr:spPr>
    </xdr:pic>
    <xdr:clientData/>
  </xdr:twoCellAnchor>
  <xdr:twoCellAnchor editAs="oneCell">
    <xdr:from>
      <xdr:col>0</xdr:col>
      <xdr:colOff>0</xdr:colOff>
      <xdr:row>0</xdr:row>
      <xdr:rowOff>0</xdr:rowOff>
    </xdr:from>
    <xdr:to>
      <xdr:col>2</xdr:col>
      <xdr:colOff>144780</xdr:colOff>
      <xdr:row>7</xdr:row>
      <xdr:rowOff>157480</xdr:rowOff>
    </xdr:to>
    <xdr:pic>
      <xdr:nvPicPr>
        <xdr:cNvPr id="55" name="ID_53CA36B191B04AB7AD2CB70DD7FFCABD" descr="upload_post_object_v2_1588733222"/>
        <xdr:cNvPicPr/>
      </xdr:nvPicPr>
      <xdr:blipFill>
        <a:blip r:embed="rId42"/>
        <a:stretch>
          <a:fillRect/>
        </a:stretch>
      </xdr:blipFill>
      <xdr:spPr>
        <a:xfrm>
          <a:off x="0" y="0"/>
          <a:ext cx="1402080" cy="1402080"/>
        </a:xfrm>
        <a:prstGeom prst="rect">
          <a:avLst/>
        </a:prstGeom>
      </xdr:spPr>
    </xdr:pic>
    <xdr:clientData/>
  </xdr:twoCellAnchor>
  <xdr:twoCellAnchor editAs="oneCell">
    <xdr:from>
      <xdr:col>0</xdr:col>
      <xdr:colOff>0</xdr:colOff>
      <xdr:row>0</xdr:row>
      <xdr:rowOff>0</xdr:rowOff>
    </xdr:from>
    <xdr:to>
      <xdr:col>0</xdr:col>
      <xdr:colOff>198120</xdr:colOff>
      <xdr:row>3</xdr:row>
      <xdr:rowOff>60960</xdr:rowOff>
    </xdr:to>
    <xdr:pic>
      <xdr:nvPicPr>
        <xdr:cNvPr id="57" name="ID_770D6385ECD841C0A2279EF988E3F447" descr="upload_post_object_v2_3187678996"/>
        <xdr:cNvPicPr/>
      </xdr:nvPicPr>
      <xdr:blipFill>
        <a:blip r:embed="rId43"/>
        <a:stretch>
          <a:fillRect/>
        </a:stretch>
      </xdr:blipFill>
      <xdr:spPr>
        <a:xfrm>
          <a:off x="0" y="0"/>
          <a:ext cx="198120" cy="594360"/>
        </a:xfrm>
        <a:prstGeom prst="rect">
          <a:avLst/>
        </a:prstGeom>
      </xdr:spPr>
    </xdr:pic>
    <xdr:clientData/>
  </xdr:twoCellAnchor>
  <xdr:twoCellAnchor editAs="oneCell">
    <xdr:from>
      <xdr:col>0</xdr:col>
      <xdr:colOff>0</xdr:colOff>
      <xdr:row>0</xdr:row>
      <xdr:rowOff>0</xdr:rowOff>
    </xdr:from>
    <xdr:to>
      <xdr:col>0</xdr:col>
      <xdr:colOff>198120</xdr:colOff>
      <xdr:row>3</xdr:row>
      <xdr:rowOff>60960</xdr:rowOff>
    </xdr:to>
    <xdr:pic>
      <xdr:nvPicPr>
        <xdr:cNvPr id="38" name="ID_706ABC842E224EFFB7936338B64C780A" descr="upload_post_object_v2_1585279084"/>
        <xdr:cNvPicPr/>
      </xdr:nvPicPr>
      <xdr:blipFill>
        <a:blip r:embed="rId43"/>
        <a:stretch>
          <a:fillRect/>
        </a:stretch>
      </xdr:blipFill>
      <xdr:spPr>
        <a:xfrm>
          <a:off x="0" y="0"/>
          <a:ext cx="198120" cy="594360"/>
        </a:xfrm>
        <a:prstGeom prst="rect">
          <a:avLst/>
        </a:prstGeom>
      </xdr:spPr>
    </xdr:pic>
    <xdr:clientData/>
  </xdr:twoCellAnchor>
  <xdr:twoCellAnchor editAs="oneCell">
    <xdr:from>
      <xdr:col>0</xdr:col>
      <xdr:colOff>0</xdr:colOff>
      <xdr:row>0</xdr:row>
      <xdr:rowOff>0</xdr:rowOff>
    </xdr:from>
    <xdr:to>
      <xdr:col>0</xdr:col>
      <xdr:colOff>495300</xdr:colOff>
      <xdr:row>2</xdr:row>
      <xdr:rowOff>139700</xdr:rowOff>
    </xdr:to>
    <xdr:pic>
      <xdr:nvPicPr>
        <xdr:cNvPr id="61" name="ID_2841082023F74F2782B714FBAF7B33EE" descr="upload_post_object_v2_3411117981"/>
        <xdr:cNvPicPr/>
      </xdr:nvPicPr>
      <xdr:blipFill>
        <a:blip r:embed="rId44"/>
        <a:stretch>
          <a:fillRect/>
        </a:stretch>
      </xdr:blipFill>
      <xdr:spPr>
        <a:xfrm>
          <a:off x="0" y="0"/>
          <a:ext cx="495300" cy="495300"/>
        </a:xfrm>
        <a:prstGeom prst="rect">
          <a:avLst/>
        </a:prstGeom>
      </xdr:spPr>
    </xdr:pic>
    <xdr:clientData/>
  </xdr:twoCellAnchor>
  <xdr:twoCellAnchor editAs="oneCell">
    <xdr:from>
      <xdr:col>0</xdr:col>
      <xdr:colOff>0</xdr:colOff>
      <xdr:row>0</xdr:row>
      <xdr:rowOff>0</xdr:rowOff>
    </xdr:from>
    <xdr:to>
      <xdr:col>1</xdr:col>
      <xdr:colOff>196850</xdr:colOff>
      <xdr:row>4</xdr:row>
      <xdr:rowOff>114300</xdr:rowOff>
    </xdr:to>
    <xdr:pic>
      <xdr:nvPicPr>
        <xdr:cNvPr id="63" name="ID_8F89D06D46E945AF859E64B85FC1A5F4" descr="upload_post_object_v2_4263374960"/>
        <xdr:cNvPicPr/>
      </xdr:nvPicPr>
      <xdr:blipFill>
        <a:blip r:embed="rId22" r:link="rId14"/>
        <a:stretch>
          <a:fillRect/>
        </a:stretch>
      </xdr:blipFill>
      <xdr:spPr>
        <a:xfrm>
          <a:off x="0" y="0"/>
          <a:ext cx="825500" cy="825500"/>
        </a:xfrm>
        <a:prstGeom prst="rect">
          <a:avLst/>
        </a:prstGeom>
      </xdr:spPr>
    </xdr:pic>
    <xdr:clientData/>
  </xdr:twoCellAnchor>
  <xdr:twoCellAnchor editAs="oneCell">
    <xdr:from>
      <xdr:col>0</xdr:col>
      <xdr:colOff>0</xdr:colOff>
      <xdr:row>0</xdr:row>
      <xdr:rowOff>0</xdr:rowOff>
    </xdr:from>
    <xdr:to>
      <xdr:col>2</xdr:col>
      <xdr:colOff>231140</xdr:colOff>
      <xdr:row>1</xdr:row>
      <xdr:rowOff>66675</xdr:rowOff>
    </xdr:to>
    <xdr:pic>
      <xdr:nvPicPr>
        <xdr:cNvPr id="60" name="ID_AFC600566F1649FFBEC3E8F03C14080A" descr="小火龙"/>
        <xdr:cNvPicPr>
          <a:picLocks noChangeAspect="1"/>
        </xdr:cNvPicPr>
      </xdr:nvPicPr>
      <xdr:blipFill>
        <a:blip r:embed="rId31"/>
        <a:stretch>
          <a:fillRect/>
        </a:stretch>
      </xdr:blipFill>
      <xdr:spPr>
        <a:xfrm>
          <a:off x="2659380" y="3425825"/>
          <a:ext cx="1488440" cy="244475"/>
        </a:xfrm>
        <a:prstGeom prst="rect">
          <a:avLst/>
        </a:prstGeom>
      </xdr:spPr>
    </xdr:pic>
    <xdr:clientData/>
  </xdr:twoCellAnchor>
  <xdr:twoCellAnchor editAs="oneCell">
    <xdr:from>
      <xdr:col>0</xdr:col>
      <xdr:colOff>0</xdr:colOff>
      <xdr:row>0</xdr:row>
      <xdr:rowOff>0</xdr:rowOff>
    </xdr:from>
    <xdr:to>
      <xdr:col>1</xdr:col>
      <xdr:colOff>614045</xdr:colOff>
      <xdr:row>6</xdr:row>
      <xdr:rowOff>177165</xdr:rowOff>
    </xdr:to>
    <xdr:pic>
      <xdr:nvPicPr>
        <xdr:cNvPr id="45" name="ID_386A33E0F9634CCB9F6901D3FAF32E8A" descr="aa"/>
        <xdr:cNvPicPr>
          <a:picLocks noChangeAspect="1"/>
        </xdr:cNvPicPr>
      </xdr:nvPicPr>
      <xdr:blipFill>
        <a:blip r:embed="rId45"/>
        <a:stretch>
          <a:fillRect/>
        </a:stretch>
      </xdr:blipFill>
      <xdr:spPr>
        <a:xfrm>
          <a:off x="18018125" y="5720715"/>
          <a:ext cx="1242695" cy="1243965"/>
        </a:xfrm>
        <a:prstGeom prst="rect">
          <a:avLst/>
        </a:prstGeom>
      </xdr:spPr>
    </xdr:pic>
    <xdr:clientData/>
  </xdr:twoCellAnchor>
  <xdr:twoCellAnchor editAs="oneCell">
    <xdr:from>
      <xdr:col>0</xdr:col>
      <xdr:colOff>0</xdr:colOff>
      <xdr:row>0</xdr:row>
      <xdr:rowOff>0</xdr:rowOff>
    </xdr:from>
    <xdr:to>
      <xdr:col>1</xdr:col>
      <xdr:colOff>85725</xdr:colOff>
      <xdr:row>4</xdr:row>
      <xdr:rowOff>3175</xdr:rowOff>
    </xdr:to>
    <xdr:pic>
      <xdr:nvPicPr>
        <xdr:cNvPr id="58" name="ID_C349134FB39C4FE3A4DACB0D25287E0B"/>
        <xdr:cNvPicPr>
          <a:picLocks noChangeAspect="1"/>
        </xdr:cNvPicPr>
      </xdr:nvPicPr>
      <xdr:blipFill>
        <a:blip r:embed="rId46"/>
        <a:stretch>
          <a:fillRect/>
        </a:stretch>
      </xdr:blipFill>
      <xdr:spPr>
        <a:xfrm>
          <a:off x="621030" y="10331450"/>
          <a:ext cx="714375" cy="71437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
  <sheetViews>
    <sheetView showGridLines="0" zoomScale="85" zoomScaleNormal="85" workbookViewId="0">
      <selection activeCell="C9" sqref="C9"/>
    </sheetView>
  </sheetViews>
  <sheetFormatPr defaultColWidth="8.89090909090909" defaultRowHeight="14" outlineLevelRow="6"/>
  <cols>
    <col min="1" max="2" width="9.92727272727273" customWidth="1"/>
    <col min="4" max="4" width="24.9636363636364" customWidth="1"/>
    <col min="5" max="5" width="4.10909090909091" style="10" customWidth="1"/>
    <col min="6" max="6" width="58.2181818181818" hidden="1" customWidth="1"/>
    <col min="7" max="7" width="29.6727272727273" style="10" customWidth="1"/>
    <col min="8" max="8" width="23.9090909090909" style="10" customWidth="1"/>
    <col min="9" max="9" width="20.1181818181818" style="10" customWidth="1"/>
    <col min="10" max="10" width="19.4727272727273" style="10" customWidth="1"/>
    <col min="11" max="11" width="18.5727272727273" style="10" customWidth="1"/>
    <col min="12" max="12" width="18.6818181818182" style="10" customWidth="1"/>
  </cols>
  <sheetData>
    <row r="1" ht="50" customHeight="1" spans="1:4">
      <c r="A1" s="492" t="str">
        <f>_xlfn.DISPIMG("ID_B8866FF8443B4D5096579B7AE4F8D3EB",1)</f>
        <v>=DISPIMG("ID_B8866FF8443B4D5096579B7AE4F8D3EB",1)</v>
      </c>
      <c r="B1" s="493" t="s">
        <v>0</v>
      </c>
      <c r="C1" s="493"/>
      <c r="D1" s="494" t="s">
        <v>1</v>
      </c>
    </row>
    <row r="2" ht="21" customHeight="1" spans="1:4">
      <c r="A2" s="12"/>
      <c r="B2" s="12"/>
      <c r="C2" s="12"/>
      <c r="D2" s="12"/>
    </row>
    <row r="3" ht="18" spans="1:12">
      <c r="A3" s="495"/>
      <c r="B3" s="496"/>
      <c r="C3" s="496"/>
      <c r="D3" s="496"/>
      <c r="E3" s="497"/>
      <c r="F3" s="498" t="s">
        <v>2</v>
      </c>
      <c r="G3" s="499" t="s">
        <v>3</v>
      </c>
      <c r="H3" s="499" t="s">
        <v>4</v>
      </c>
      <c r="I3" s="499" t="s">
        <v>5</v>
      </c>
      <c r="J3" s="499" t="s">
        <v>6</v>
      </c>
      <c r="K3" s="499" t="s">
        <v>7</v>
      </c>
      <c r="L3" s="515" t="s">
        <v>8</v>
      </c>
    </row>
    <row r="4" ht="146" customHeight="1" spans="1:12">
      <c r="A4" s="500" t="str">
        <f>_xlfn.DISPIMG("ID_29B33786BB7E433C91D14FE25C8230AE",1)</f>
        <v>=DISPIMG("ID_29B33786BB7E433C91D14FE25C8230AE",1)</v>
      </c>
      <c r="B4" s="501"/>
      <c r="C4" s="501"/>
      <c r="D4" s="502" t="s">
        <v>9</v>
      </c>
      <c r="E4" s="503" t="s">
        <v>10</v>
      </c>
      <c r="F4" s="504" t="s">
        <v>11</v>
      </c>
      <c r="G4" s="505" t="s">
        <v>12</v>
      </c>
      <c r="H4" s="506" t="s">
        <v>13</v>
      </c>
      <c r="I4" s="506" t="s">
        <v>14</v>
      </c>
      <c r="J4" s="506" t="s">
        <v>15</v>
      </c>
      <c r="K4" s="506" t="s">
        <v>16</v>
      </c>
      <c r="L4" s="516" t="s">
        <v>17</v>
      </c>
    </row>
    <row r="5" ht="120" customHeight="1" spans="1:12">
      <c r="A5" s="507" t="s">
        <v>18</v>
      </c>
      <c r="B5" s="508" t="s">
        <v>19</v>
      </c>
      <c r="C5" s="509"/>
      <c r="D5" s="509"/>
      <c r="E5" s="503" t="s">
        <v>20</v>
      </c>
      <c r="F5" s="504" t="s">
        <v>21</v>
      </c>
      <c r="G5" s="505" t="s">
        <v>22</v>
      </c>
      <c r="H5" s="506" t="s">
        <v>23</v>
      </c>
      <c r="I5" s="506" t="s">
        <v>24</v>
      </c>
      <c r="J5" s="506" t="s">
        <v>25</v>
      </c>
      <c r="K5" s="506" t="s">
        <v>26</v>
      </c>
      <c r="L5" s="516" t="s">
        <v>27</v>
      </c>
    </row>
    <row r="6" ht="143" customHeight="1" spans="1:12">
      <c r="A6" s="510" t="s">
        <v>28</v>
      </c>
      <c r="B6" s="508" t="s">
        <v>29</v>
      </c>
      <c r="C6" s="509"/>
      <c r="D6" s="509"/>
      <c r="E6" s="511" t="s">
        <v>30</v>
      </c>
      <c r="F6" s="512" t="s">
        <v>31</v>
      </c>
      <c r="G6" s="513" t="s">
        <v>32</v>
      </c>
      <c r="H6" s="514" t="s">
        <v>33</v>
      </c>
      <c r="I6" s="514" t="s">
        <v>34</v>
      </c>
      <c r="J6" s="514" t="s">
        <v>35</v>
      </c>
      <c r="K6" s="514" t="s">
        <v>36</v>
      </c>
      <c r="L6" s="517" t="s">
        <v>37</v>
      </c>
    </row>
    <row r="7" ht="74" customHeight="1" spans="5:5">
      <c r="E7" s="10" t="s">
        <v>38</v>
      </c>
    </row>
  </sheetData>
  <sheetProtection formatCells="0" formatColumns="0" formatRows="0" insertRows="0" insertColumns="0" insertHyperlinks="0" deleteColumns="0" deleteRows="0" sort="0" autoFilter="0" pivotTables="0"/>
  <mergeCells count="4">
    <mergeCell ref="B1:C1"/>
    <mergeCell ref="A4:C4"/>
    <mergeCell ref="B5:D5"/>
    <mergeCell ref="B6:D6"/>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sheetPr>
  <dimension ref="B1:AE46"/>
  <sheetViews>
    <sheetView showGridLines="0" zoomScale="70" zoomScaleNormal="70" workbookViewId="0">
      <selection activeCell="AD7" sqref="AD7"/>
    </sheetView>
  </sheetViews>
  <sheetFormatPr defaultColWidth="8.89090909090909" defaultRowHeight="16.5"/>
  <cols>
    <col min="1" max="1" width="8.89090909090909" style="11"/>
    <col min="2" max="2" width="5.78181818181818" style="11" customWidth="1"/>
    <col min="3" max="4" width="8.78181818181818" style="11" customWidth="1"/>
    <col min="5" max="5" width="5.78181818181818" style="11" customWidth="1"/>
    <col min="6" max="6" width="14.7818181818182" style="11" customWidth="1"/>
    <col min="7" max="7" width="5.78181818181818" style="11" customWidth="1"/>
    <col min="8" max="9" width="8.78181818181818" style="11" customWidth="1"/>
    <col min="10" max="10" width="5.78181818181818" style="11" customWidth="1"/>
    <col min="11" max="11" width="14.7818181818182" style="11" customWidth="1"/>
    <col min="12" max="12" width="5.78181818181818" style="11" customWidth="1"/>
    <col min="13" max="14" width="8.78181818181818" style="11" customWidth="1"/>
    <col min="15" max="15" width="5.78181818181818" style="11" customWidth="1"/>
    <col min="16" max="16" width="14.7818181818182" style="11" customWidth="1"/>
    <col min="17" max="17" width="5.78181818181818" style="11" customWidth="1"/>
    <col min="18" max="19" width="8.78181818181818" style="11" customWidth="1"/>
    <col min="20" max="20" width="5.78181818181818" style="11" customWidth="1"/>
    <col min="21" max="21" width="14.7818181818182" style="11" customWidth="1"/>
    <col min="22" max="22" width="5.70909090909091" style="11" customWidth="1"/>
    <col min="23" max="24" width="8.89090909090909" style="11"/>
    <col min="25" max="25" width="6.66363636363636" style="11" customWidth="1"/>
    <col min="26" max="26" width="13.8545454545455" style="11" customWidth="1"/>
    <col min="27" max="27" width="5.79090909090909" style="11" customWidth="1"/>
    <col min="28" max="29" width="8.89090909090909" style="11"/>
    <col min="30" max="30" width="5.79090909090909" style="11" customWidth="1"/>
    <col min="31" max="31" width="14.7818181818182" style="11" customWidth="1"/>
    <col min="32" max="16384" width="8.89090909090909" style="11"/>
  </cols>
  <sheetData>
    <row r="1" ht="61" customHeight="1" spans="2:26">
      <c r="B1" s="92" t="s">
        <v>39</v>
      </c>
      <c r="C1" s="93"/>
      <c r="D1" s="93"/>
      <c r="E1" s="93"/>
      <c r="F1" s="93"/>
      <c r="G1" s="94" t="s">
        <v>40</v>
      </c>
      <c r="H1" s="95"/>
      <c r="I1" s="95"/>
      <c r="J1" s="95"/>
      <c r="K1" s="95"/>
      <c r="L1" s="154"/>
      <c r="M1" s="155"/>
      <c r="N1" s="155"/>
      <c r="O1" s="155"/>
      <c r="P1" s="155"/>
      <c r="Q1" s="106"/>
      <c r="R1" s="16"/>
      <c r="S1" s="16"/>
      <c r="T1" s="16"/>
      <c r="U1" s="16"/>
      <c r="V1" s="113" t="s">
        <v>41</v>
      </c>
      <c r="W1" s="114"/>
      <c r="X1" s="114"/>
      <c r="Y1" s="114"/>
      <c r="Z1" s="114"/>
    </row>
    <row r="2" ht="16.95" customHeight="1" spans="2:21">
      <c r="B2" s="96"/>
      <c r="C2" s="18"/>
      <c r="D2" s="18"/>
      <c r="E2" s="18"/>
      <c r="F2" s="18"/>
      <c r="G2" s="96"/>
      <c r="H2" s="18"/>
      <c r="I2" s="18"/>
      <c r="J2" s="18"/>
      <c r="K2" s="18"/>
      <c r="L2" s="96"/>
      <c r="M2" s="18"/>
      <c r="N2" s="18"/>
      <c r="O2" s="18"/>
      <c r="P2" s="18"/>
      <c r="Q2" s="96"/>
      <c r="R2" s="18"/>
      <c r="S2" s="18"/>
      <c r="T2" s="18"/>
      <c r="U2" s="18"/>
    </row>
    <row r="3" ht="18.15" customHeight="1" spans="2:26">
      <c r="B3" s="20" t="s">
        <v>42</v>
      </c>
      <c r="C3" s="20"/>
      <c r="D3" s="20"/>
      <c r="E3" s="20"/>
      <c r="F3" s="20"/>
      <c r="G3" s="20" t="s">
        <v>43</v>
      </c>
      <c r="H3" s="20"/>
      <c r="I3" s="20"/>
      <c r="J3" s="20"/>
      <c r="K3" s="20"/>
      <c r="L3" s="20" t="s">
        <v>44</v>
      </c>
      <c r="M3" s="20"/>
      <c r="N3" s="20"/>
      <c r="O3" s="20"/>
      <c r="P3" s="20"/>
      <c r="Q3" s="320" t="s">
        <v>45</v>
      </c>
      <c r="R3" s="20"/>
      <c r="S3" s="20"/>
      <c r="T3" s="20"/>
      <c r="U3" s="20"/>
      <c r="V3" s="20" t="s">
        <v>46</v>
      </c>
      <c r="W3" s="20"/>
      <c r="X3" s="20"/>
      <c r="Y3" s="20"/>
      <c r="Z3" s="128"/>
    </row>
    <row r="4" ht="48" customHeight="1" spans="2:26">
      <c r="B4" s="25" t="s">
        <v>47</v>
      </c>
      <c r="C4" s="48">
        <v>0</v>
      </c>
      <c r="D4" s="68">
        <v>1</v>
      </c>
      <c r="E4" s="25" t="s">
        <v>48</v>
      </c>
      <c r="F4" s="69" t="s">
        <v>49</v>
      </c>
      <c r="G4" s="25" t="s">
        <v>47</v>
      </c>
      <c r="H4" s="48">
        <v>1</v>
      </c>
      <c r="I4" s="68">
        <v>0</v>
      </c>
      <c r="J4" s="25" t="s">
        <v>48</v>
      </c>
      <c r="K4" s="69" t="s">
        <v>49</v>
      </c>
      <c r="L4" s="25" t="s">
        <v>47</v>
      </c>
      <c r="M4" s="48">
        <v>1</v>
      </c>
      <c r="N4" s="68">
        <v>0</v>
      </c>
      <c r="O4" s="25" t="s">
        <v>48</v>
      </c>
      <c r="P4" s="69" t="s">
        <v>49</v>
      </c>
      <c r="Q4" s="25" t="s">
        <v>47</v>
      </c>
      <c r="R4" s="48">
        <v>0</v>
      </c>
      <c r="S4" s="68">
        <v>1</v>
      </c>
      <c r="T4" s="25" t="s">
        <v>48</v>
      </c>
      <c r="U4" s="69" t="str">
        <f>_xlfn.DISPIMG("ID_A223E8EC2451478EBFCD8AC675E40CF7",1)</f>
        <v>=DISPIMG("ID_A223E8EC2451478EBFCD8AC675E40CF7",1)</v>
      </c>
      <c r="V4" s="25" t="s">
        <v>50</v>
      </c>
      <c r="W4" s="121" t="s">
        <v>51</v>
      </c>
      <c r="X4" s="122"/>
      <c r="Y4" s="122"/>
      <c r="Z4" s="130"/>
    </row>
    <row r="5" ht="48" customHeight="1" spans="2:26">
      <c r="B5" s="25" t="s">
        <v>52</v>
      </c>
      <c r="C5" s="49">
        <v>1</v>
      </c>
      <c r="D5" s="70">
        <v>0</v>
      </c>
      <c r="E5" s="25" t="s">
        <v>53</v>
      </c>
      <c r="F5" s="69" t="s">
        <v>54</v>
      </c>
      <c r="G5" s="25" t="s">
        <v>52</v>
      </c>
      <c r="H5" s="49">
        <v>2</v>
      </c>
      <c r="I5" s="70">
        <v>0</v>
      </c>
      <c r="J5" s="25" t="s">
        <v>55</v>
      </c>
      <c r="K5" s="69" t="s">
        <v>54</v>
      </c>
      <c r="L5" s="25" t="s">
        <v>52</v>
      </c>
      <c r="M5" s="49">
        <v>2</v>
      </c>
      <c r="N5" s="70">
        <v>0</v>
      </c>
      <c r="O5" s="25" t="s">
        <v>55</v>
      </c>
      <c r="P5" s="69" t="s">
        <v>54</v>
      </c>
      <c r="Q5" s="25" t="s">
        <v>52</v>
      </c>
      <c r="R5" s="49">
        <v>0</v>
      </c>
      <c r="S5" s="70">
        <v>1</v>
      </c>
      <c r="T5" s="25" t="s">
        <v>55</v>
      </c>
      <c r="U5" s="69" t="s">
        <v>54</v>
      </c>
      <c r="V5" s="27" t="s">
        <v>56</v>
      </c>
      <c r="W5" s="282" t="s">
        <v>57</v>
      </c>
      <c r="X5" s="211"/>
      <c r="Y5" s="211"/>
      <c r="Z5" s="227"/>
    </row>
    <row r="6" ht="70.75" customHeight="1" spans="2:26">
      <c r="B6" s="33" t="s">
        <v>58</v>
      </c>
      <c r="C6" s="108" t="s">
        <v>59</v>
      </c>
      <c r="D6" s="108"/>
      <c r="E6" s="108"/>
      <c r="F6" s="108"/>
      <c r="G6" s="33" t="s">
        <v>58</v>
      </c>
      <c r="H6" s="98" t="s">
        <v>60</v>
      </c>
      <c r="I6" s="98"/>
      <c r="J6" s="98"/>
      <c r="K6" s="98"/>
      <c r="L6" s="33" t="s">
        <v>58</v>
      </c>
      <c r="M6" s="471" t="s">
        <v>61</v>
      </c>
      <c r="N6" s="471"/>
      <c r="O6" s="471"/>
      <c r="P6" s="471"/>
      <c r="Q6" s="33" t="s">
        <v>58</v>
      </c>
      <c r="R6" s="475" t="s">
        <v>62</v>
      </c>
      <c r="S6" s="476"/>
      <c r="T6" s="476"/>
      <c r="U6" s="476"/>
      <c r="V6" s="33"/>
      <c r="W6" s="212"/>
      <c r="X6" s="213"/>
      <c r="Y6" s="213"/>
      <c r="Z6" s="228"/>
    </row>
    <row r="7" ht="18.15" customHeight="1" spans="2:26">
      <c r="B7" s="20" t="s">
        <v>63</v>
      </c>
      <c r="C7" s="20"/>
      <c r="D7" s="20"/>
      <c r="E7" s="20"/>
      <c r="F7" s="20"/>
      <c r="G7" s="45" t="s">
        <v>64</v>
      </c>
      <c r="H7" s="45"/>
      <c r="I7" s="45"/>
      <c r="J7" s="45"/>
      <c r="K7" s="45"/>
      <c r="L7" s="45" t="s">
        <v>65</v>
      </c>
      <c r="M7" s="45"/>
      <c r="N7" s="45"/>
      <c r="O7" s="45"/>
      <c r="P7" s="45"/>
      <c r="Q7" s="20" t="s">
        <v>66</v>
      </c>
      <c r="R7" s="20"/>
      <c r="S7" s="20"/>
      <c r="T7" s="20"/>
      <c r="U7" s="20"/>
      <c r="V7" s="20" t="s">
        <v>67</v>
      </c>
      <c r="W7" s="20"/>
      <c r="X7" s="20"/>
      <c r="Y7" s="20"/>
      <c r="Z7" s="129"/>
    </row>
    <row r="8" ht="48" customHeight="1" spans="2:26">
      <c r="B8" s="25" t="s">
        <v>47</v>
      </c>
      <c r="C8" s="48">
        <v>1</v>
      </c>
      <c r="D8" s="68">
        <v>0</v>
      </c>
      <c r="E8" s="25" t="s">
        <v>48</v>
      </c>
      <c r="F8" s="69" t="s">
        <v>49</v>
      </c>
      <c r="G8" s="25" t="s">
        <v>47</v>
      </c>
      <c r="H8" s="48">
        <v>1</v>
      </c>
      <c r="I8" s="68">
        <v>0</v>
      </c>
      <c r="J8" s="25" t="s">
        <v>48</v>
      </c>
      <c r="K8" s="69" t="s">
        <v>49</v>
      </c>
      <c r="L8" s="25" t="s">
        <v>47</v>
      </c>
      <c r="M8" s="48">
        <v>0</v>
      </c>
      <c r="N8" s="68">
        <v>1</v>
      </c>
      <c r="O8" s="25" t="s">
        <v>48</v>
      </c>
      <c r="P8" s="69" t="s">
        <v>49</v>
      </c>
      <c r="Q8" s="25" t="s">
        <v>47</v>
      </c>
      <c r="R8" s="48">
        <v>1</v>
      </c>
      <c r="S8" s="68">
        <v>1</v>
      </c>
      <c r="T8" s="25" t="s">
        <v>48</v>
      </c>
      <c r="U8" s="69" t="s">
        <v>49</v>
      </c>
      <c r="V8" s="25" t="s">
        <v>50</v>
      </c>
      <c r="W8" s="115" t="s">
        <v>68</v>
      </c>
      <c r="X8" s="122"/>
      <c r="Y8" s="122"/>
      <c r="Z8" s="130"/>
    </row>
    <row r="9" ht="48" customHeight="1" spans="2:26">
      <c r="B9" s="25" t="s">
        <v>52</v>
      </c>
      <c r="C9" s="49">
        <v>1</v>
      </c>
      <c r="D9" s="70">
        <v>0</v>
      </c>
      <c r="E9" s="25" t="s">
        <v>55</v>
      </c>
      <c r="F9" s="69" t="s">
        <v>54</v>
      </c>
      <c r="G9" s="25" t="s">
        <v>52</v>
      </c>
      <c r="H9" s="49">
        <v>7</v>
      </c>
      <c r="I9" s="70">
        <v>0</v>
      </c>
      <c r="J9" s="25" t="s">
        <v>55</v>
      </c>
      <c r="K9" s="69" t="str">
        <f>_xlfn.DISPIMG("ID_A223E8EC2451478EBFCD8AC675E40CF7",1)</f>
        <v>=DISPIMG("ID_A223E8EC2451478EBFCD8AC675E40CF7",1)</v>
      </c>
      <c r="L9" s="25" t="s">
        <v>52</v>
      </c>
      <c r="M9" s="49">
        <v>2</v>
      </c>
      <c r="N9" s="70">
        <v>0</v>
      </c>
      <c r="O9" s="25" t="s">
        <v>55</v>
      </c>
      <c r="P9" s="69" t="s">
        <v>69</v>
      </c>
      <c r="Q9" s="25" t="s">
        <v>52</v>
      </c>
      <c r="R9" s="49">
        <v>8</v>
      </c>
      <c r="S9" s="70">
        <v>1</v>
      </c>
      <c r="T9" s="25" t="s">
        <v>55</v>
      </c>
      <c r="U9" s="69" t="str">
        <f>_xlfn.DISPIMG("ID_A223E8EC2451478EBFCD8AC675E40CF7",1)</f>
        <v>=DISPIMG("ID_A223E8EC2451478EBFCD8AC675E40CF7",1)</v>
      </c>
      <c r="V9" s="27" t="s">
        <v>56</v>
      </c>
      <c r="W9" s="117" t="s">
        <v>70</v>
      </c>
      <c r="X9" s="118"/>
      <c r="Y9" s="118"/>
      <c r="Z9" s="131"/>
    </row>
    <row r="10" ht="70" customHeight="1" spans="2:26">
      <c r="B10" s="99" t="s">
        <v>58</v>
      </c>
      <c r="C10" s="98" t="s">
        <v>71</v>
      </c>
      <c r="D10" s="108"/>
      <c r="E10" s="108"/>
      <c r="F10" s="108"/>
      <c r="G10" s="99" t="s">
        <v>58</v>
      </c>
      <c r="H10" s="467" t="s">
        <v>72</v>
      </c>
      <c r="I10" s="109"/>
      <c r="J10" s="109"/>
      <c r="K10" s="109"/>
      <c r="L10" s="99" t="s">
        <v>58</v>
      </c>
      <c r="M10" s="175" t="s">
        <v>73</v>
      </c>
      <c r="N10" s="109"/>
      <c r="O10" s="109"/>
      <c r="P10" s="109"/>
      <c r="Q10" s="33" t="s">
        <v>58</v>
      </c>
      <c r="R10" s="477" t="s">
        <v>74</v>
      </c>
      <c r="S10" s="476"/>
      <c r="T10" s="476"/>
      <c r="U10" s="476"/>
      <c r="V10" s="33"/>
      <c r="W10" s="119"/>
      <c r="X10" s="120"/>
      <c r="Y10" s="120"/>
      <c r="Z10" s="132"/>
    </row>
    <row r="11" ht="15" customHeight="1" spans="2:31">
      <c r="B11" s="35" t="s">
        <v>75</v>
      </c>
      <c r="C11" s="35"/>
      <c r="D11" s="35"/>
      <c r="E11" s="35"/>
      <c r="F11" s="35"/>
      <c r="G11" s="45" t="s">
        <v>76</v>
      </c>
      <c r="H11" s="45"/>
      <c r="I11" s="45"/>
      <c r="J11" s="45"/>
      <c r="K11" s="45"/>
      <c r="L11" s="35" t="s">
        <v>77</v>
      </c>
      <c r="M11" s="35"/>
      <c r="N11" s="35"/>
      <c r="O11" s="35"/>
      <c r="P11" s="35"/>
      <c r="Q11" s="20" t="s">
        <v>78</v>
      </c>
      <c r="R11" s="20"/>
      <c r="S11" s="20"/>
      <c r="T11" s="20"/>
      <c r="U11" s="20"/>
      <c r="V11" s="20" t="s">
        <v>79</v>
      </c>
      <c r="W11" s="20"/>
      <c r="X11" s="20"/>
      <c r="Y11" s="20"/>
      <c r="Z11" s="129"/>
      <c r="AA11" s="35" t="s">
        <v>80</v>
      </c>
      <c r="AB11" s="35"/>
      <c r="AC11" s="35"/>
      <c r="AD11" s="35"/>
      <c r="AE11" s="35"/>
    </row>
    <row r="12" ht="48" customHeight="1" spans="2:31">
      <c r="B12" s="25" t="s">
        <v>47</v>
      </c>
      <c r="C12" s="48">
        <v>1</v>
      </c>
      <c r="D12" s="68">
        <v>0</v>
      </c>
      <c r="E12" s="25" t="s">
        <v>48</v>
      </c>
      <c r="F12" s="69" t="str">
        <f>_xlfn.DISPIMG("ID_2E8BCE7562C34FF7BF284F0BCDA13976",1)</f>
        <v>=DISPIMG("ID_2E8BCE7562C34FF7BF284F0BCDA13976",1)</v>
      </c>
      <c r="G12" s="25" t="s">
        <v>47</v>
      </c>
      <c r="H12" s="48">
        <v>0</v>
      </c>
      <c r="I12" s="68">
        <v>1</v>
      </c>
      <c r="J12" s="25" t="s">
        <v>48</v>
      </c>
      <c r="K12" s="69" t="s">
        <v>49</v>
      </c>
      <c r="L12" s="25" t="s">
        <v>47</v>
      </c>
      <c r="M12" s="48">
        <v>0</v>
      </c>
      <c r="N12" s="68">
        <v>0</v>
      </c>
      <c r="O12" s="25" t="s">
        <v>48</v>
      </c>
      <c r="P12" s="69" t="s">
        <v>81</v>
      </c>
      <c r="Q12" s="25" t="s">
        <v>47</v>
      </c>
      <c r="R12" s="48">
        <v>1</v>
      </c>
      <c r="S12" s="68">
        <v>0</v>
      </c>
      <c r="T12" s="25" t="s">
        <v>48</v>
      </c>
      <c r="U12" s="69" t="s">
        <v>82</v>
      </c>
      <c r="V12" s="25" t="s">
        <v>50</v>
      </c>
      <c r="W12" s="162" t="s">
        <v>83</v>
      </c>
      <c r="X12" s="163"/>
      <c r="Y12" s="163"/>
      <c r="Z12" s="172"/>
      <c r="AA12" s="25" t="s">
        <v>47</v>
      </c>
      <c r="AB12" s="48">
        <v>1</v>
      </c>
      <c r="AC12" s="68">
        <v>1</v>
      </c>
      <c r="AD12" s="25" t="s">
        <v>48</v>
      </c>
      <c r="AE12" s="69" t="s">
        <v>49</v>
      </c>
    </row>
    <row r="13" ht="48" customHeight="1" spans="2:31">
      <c r="B13" s="25" t="s">
        <v>52</v>
      </c>
      <c r="C13" s="49">
        <v>8</v>
      </c>
      <c r="D13" s="70">
        <v>0</v>
      </c>
      <c r="E13" s="25" t="s">
        <v>55</v>
      </c>
      <c r="F13" s="69" t="s">
        <v>84</v>
      </c>
      <c r="G13" s="25" t="s">
        <v>52</v>
      </c>
      <c r="H13" s="49">
        <v>3</v>
      </c>
      <c r="I13" s="70">
        <v>0</v>
      </c>
      <c r="J13" s="25" t="s">
        <v>55</v>
      </c>
      <c r="K13" s="69" t="s">
        <v>69</v>
      </c>
      <c r="L13" s="25" t="s">
        <v>52</v>
      </c>
      <c r="M13" s="49">
        <v>2</v>
      </c>
      <c r="N13" s="70">
        <v>1</v>
      </c>
      <c r="O13" s="25" t="s">
        <v>55</v>
      </c>
      <c r="P13" s="69" t="s">
        <v>54</v>
      </c>
      <c r="Q13" s="25" t="s">
        <v>52</v>
      </c>
      <c r="R13" s="49">
        <v>9</v>
      </c>
      <c r="S13" s="70">
        <v>2</v>
      </c>
      <c r="T13" s="25" t="s">
        <v>55</v>
      </c>
      <c r="U13" s="69" t="s">
        <v>69</v>
      </c>
      <c r="V13" s="27" t="s">
        <v>56</v>
      </c>
      <c r="W13" s="164" t="s">
        <v>85</v>
      </c>
      <c r="X13" s="165"/>
      <c r="Y13" s="165"/>
      <c r="Z13" s="173"/>
      <c r="AA13" s="25" t="s">
        <v>52</v>
      </c>
      <c r="AB13" s="49">
        <v>10</v>
      </c>
      <c r="AC13" s="70">
        <v>2</v>
      </c>
      <c r="AD13" s="25" t="s">
        <v>55</v>
      </c>
      <c r="AE13" s="69" t="s">
        <v>69</v>
      </c>
    </row>
    <row r="14" ht="70" customHeight="1" spans="2:31">
      <c r="B14" s="33" t="s">
        <v>58</v>
      </c>
      <c r="C14" s="156" t="s">
        <v>86</v>
      </c>
      <c r="D14" s="104"/>
      <c r="E14" s="104"/>
      <c r="F14" s="104"/>
      <c r="G14" s="99" t="s">
        <v>58</v>
      </c>
      <c r="H14" s="124" t="s">
        <v>87</v>
      </c>
      <c r="I14" s="109"/>
      <c r="J14" s="109"/>
      <c r="K14" s="109"/>
      <c r="L14" s="33" t="s">
        <v>58</v>
      </c>
      <c r="M14" s="175" t="s">
        <v>88</v>
      </c>
      <c r="N14" s="109"/>
      <c r="O14" s="109"/>
      <c r="P14" s="109"/>
      <c r="Q14" s="25" t="s">
        <v>58</v>
      </c>
      <c r="R14" s="478" t="s">
        <v>89</v>
      </c>
      <c r="S14" s="479"/>
      <c r="T14" s="479"/>
      <c r="U14" s="479"/>
      <c r="V14" s="33"/>
      <c r="W14" s="284"/>
      <c r="X14" s="285"/>
      <c r="Y14" s="285"/>
      <c r="Z14" s="286"/>
      <c r="AA14" s="33" t="s">
        <v>58</v>
      </c>
      <c r="AB14" s="220" t="s">
        <v>90</v>
      </c>
      <c r="AC14" s="418"/>
      <c r="AD14" s="418"/>
      <c r="AE14" s="418"/>
    </row>
    <row r="15" ht="15" customHeight="1" spans="2:26">
      <c r="B15" s="20" t="s">
        <v>91</v>
      </c>
      <c r="C15" s="20"/>
      <c r="D15" s="20"/>
      <c r="E15" s="20"/>
      <c r="F15" s="20"/>
      <c r="G15" s="20" t="s">
        <v>92</v>
      </c>
      <c r="H15" s="20"/>
      <c r="I15" s="20"/>
      <c r="J15" s="20"/>
      <c r="K15" s="20"/>
      <c r="L15" s="45" t="s">
        <v>93</v>
      </c>
      <c r="M15" s="45"/>
      <c r="N15" s="45"/>
      <c r="O15" s="45"/>
      <c r="P15" s="45"/>
      <c r="Q15" s="20" t="s">
        <v>94</v>
      </c>
      <c r="R15" s="20"/>
      <c r="S15" s="20"/>
      <c r="T15" s="20"/>
      <c r="U15" s="129"/>
      <c r="V15" s="20" t="s">
        <v>94</v>
      </c>
      <c r="W15" s="20"/>
      <c r="X15" s="20"/>
      <c r="Y15" s="20"/>
      <c r="Z15" s="129"/>
    </row>
    <row r="16" ht="48" customHeight="1" spans="2:26">
      <c r="B16" s="25" t="s">
        <v>47</v>
      </c>
      <c r="C16" s="48">
        <v>1</v>
      </c>
      <c r="D16" s="68">
        <v>0</v>
      </c>
      <c r="E16" s="25" t="s">
        <v>48</v>
      </c>
      <c r="F16" s="69" t="s">
        <v>82</v>
      </c>
      <c r="G16" s="25" t="s">
        <v>47</v>
      </c>
      <c r="H16" s="48">
        <v>1</v>
      </c>
      <c r="I16" s="68">
        <v>0</v>
      </c>
      <c r="J16" s="25" t="s">
        <v>48</v>
      </c>
      <c r="K16" s="69" t="s">
        <v>95</v>
      </c>
      <c r="L16" s="25" t="s">
        <v>47</v>
      </c>
      <c r="M16" s="48">
        <v>0</v>
      </c>
      <c r="N16" s="68">
        <v>1</v>
      </c>
      <c r="O16" s="25" t="s">
        <v>48</v>
      </c>
      <c r="P16" s="69" t="s">
        <v>81</v>
      </c>
      <c r="Q16" s="25" t="s">
        <v>50</v>
      </c>
      <c r="R16" s="480" t="s">
        <v>96</v>
      </c>
      <c r="S16" s="480"/>
      <c r="T16" s="480"/>
      <c r="U16" s="481"/>
      <c r="V16" s="25" t="s">
        <v>50</v>
      </c>
      <c r="W16" s="482" t="s">
        <v>97</v>
      </c>
      <c r="X16" s="482"/>
      <c r="Y16" s="482"/>
      <c r="Z16" s="489"/>
    </row>
    <row r="17" ht="48" customHeight="1" spans="2:26">
      <c r="B17" s="25" t="s">
        <v>52</v>
      </c>
      <c r="C17" s="49">
        <v>9</v>
      </c>
      <c r="D17" s="70">
        <v>2</v>
      </c>
      <c r="E17" s="25" t="s">
        <v>55</v>
      </c>
      <c r="F17" s="69" t="s">
        <v>54</v>
      </c>
      <c r="G17" s="25" t="s">
        <v>52</v>
      </c>
      <c r="H17" s="49">
        <v>9</v>
      </c>
      <c r="I17" s="70">
        <v>1</v>
      </c>
      <c r="J17" s="25" t="s">
        <v>55</v>
      </c>
      <c r="K17" s="69" t="s">
        <v>84</v>
      </c>
      <c r="L17" s="25" t="s">
        <v>52</v>
      </c>
      <c r="M17" s="49">
        <v>10</v>
      </c>
      <c r="N17" s="70">
        <v>1</v>
      </c>
      <c r="O17" s="25" t="s">
        <v>55</v>
      </c>
      <c r="P17" s="69" t="s">
        <v>69</v>
      </c>
      <c r="Q17" s="27" t="s">
        <v>56</v>
      </c>
      <c r="R17" s="483" t="s">
        <v>98</v>
      </c>
      <c r="S17" s="483"/>
      <c r="T17" s="483"/>
      <c r="U17" s="484"/>
      <c r="V17" s="27" t="s">
        <v>56</v>
      </c>
      <c r="W17" s="485" t="s">
        <v>99</v>
      </c>
      <c r="X17" s="485"/>
      <c r="Y17" s="485"/>
      <c r="Z17" s="490"/>
    </row>
    <row r="18" ht="70" customHeight="1" spans="2:26">
      <c r="B18" s="25" t="s">
        <v>58</v>
      </c>
      <c r="C18" s="468" t="s">
        <v>100</v>
      </c>
      <c r="D18" s="469"/>
      <c r="E18" s="469"/>
      <c r="F18" s="469"/>
      <c r="G18" s="25" t="s">
        <v>58</v>
      </c>
      <c r="H18" s="470" t="s">
        <v>101</v>
      </c>
      <c r="I18" s="472"/>
      <c r="J18" s="472"/>
      <c r="K18" s="472"/>
      <c r="L18" s="54" t="s">
        <v>58</v>
      </c>
      <c r="M18" s="473" t="s">
        <v>102</v>
      </c>
      <c r="N18" s="474"/>
      <c r="O18" s="474"/>
      <c r="P18" s="474"/>
      <c r="Q18" s="33"/>
      <c r="R18" s="486"/>
      <c r="S18" s="486"/>
      <c r="T18" s="486"/>
      <c r="U18" s="487"/>
      <c r="V18" s="33"/>
      <c r="W18" s="488"/>
      <c r="X18" s="488"/>
      <c r="Y18" s="488"/>
      <c r="Z18" s="491"/>
    </row>
    <row r="19" spans="3:12">
      <c r="C19" s="180" t="s">
        <v>103</v>
      </c>
      <c r="D19" s="181" t="s">
        <v>104</v>
      </c>
      <c r="E19" s="181" t="s">
        <v>105</v>
      </c>
      <c r="F19" s="181"/>
      <c r="G19" s="181"/>
      <c r="H19" s="180" t="s">
        <v>76</v>
      </c>
      <c r="I19" s="181" t="s">
        <v>104</v>
      </c>
      <c r="J19" s="181" t="s">
        <v>106</v>
      </c>
      <c r="K19" s="181"/>
      <c r="L19" s="181"/>
    </row>
    <row r="20" spans="3:12">
      <c r="C20" s="182" t="str">
        <f>_xlfn.DISPIMG("ID_C620A616DE16435DA5AD923CCAA14C39",1)</f>
        <v>=DISPIMG("ID_C620A616DE16435DA5AD923CCAA14C39",1)</v>
      </c>
      <c r="D20" s="410" t="s">
        <v>107</v>
      </c>
      <c r="E20" s="411"/>
      <c r="F20" s="411"/>
      <c r="G20" s="412"/>
      <c r="H20" s="182" t="str">
        <f>_xlfn.DISPIMG("ID_7CD15F74743E46FAAA8DE619E7F60A33",1)</f>
        <v>=DISPIMG("ID_7CD15F74743E46FAAA8DE619E7F60A33",1)</v>
      </c>
      <c r="I20" s="410" t="s">
        <v>108</v>
      </c>
      <c r="J20" s="411"/>
      <c r="K20" s="411"/>
      <c r="L20" s="412"/>
    </row>
    <row r="21" spans="3:12">
      <c r="C21" s="182"/>
      <c r="D21" s="413" t="s">
        <v>109</v>
      </c>
      <c r="E21" s="414"/>
      <c r="F21" s="414"/>
      <c r="G21" s="415"/>
      <c r="H21" s="182"/>
      <c r="I21" s="413" t="s">
        <v>110</v>
      </c>
      <c r="J21" s="414"/>
      <c r="K21" s="414"/>
      <c r="L21" s="415"/>
    </row>
    <row r="22" spans="3:12">
      <c r="C22" s="182"/>
      <c r="D22" s="413" t="s">
        <v>111</v>
      </c>
      <c r="E22" s="414"/>
      <c r="F22" s="414"/>
      <c r="G22" s="415"/>
      <c r="H22" s="182"/>
      <c r="I22" s="413" t="s">
        <v>112</v>
      </c>
      <c r="J22" s="414"/>
      <c r="K22" s="414"/>
      <c r="L22" s="415"/>
    </row>
    <row r="23" ht="93" customHeight="1" spans="3:17">
      <c r="C23" s="265" t="s">
        <v>113</v>
      </c>
      <c r="D23" s="325" t="s">
        <v>114</v>
      </c>
      <c r="E23" s="326"/>
      <c r="F23" s="326"/>
      <c r="G23" s="327"/>
      <c r="H23" s="265" t="s">
        <v>113</v>
      </c>
      <c r="I23" s="325" t="s">
        <v>115</v>
      </c>
      <c r="J23" s="326"/>
      <c r="K23" s="326"/>
      <c r="L23" s="327"/>
      <c r="Q23"/>
    </row>
    <row r="24" spans="3:12">
      <c r="C24" s="269"/>
      <c r="D24" s="328"/>
      <c r="E24" s="329"/>
      <c r="F24" s="329"/>
      <c r="G24" s="330"/>
      <c r="H24" s="269"/>
      <c r="I24" s="328"/>
      <c r="J24" s="329"/>
      <c r="K24" s="329"/>
      <c r="L24" s="330"/>
    </row>
    <row r="26" ht="31.2" customHeight="1"/>
    <row r="46" spans="8:8">
      <c r="H46"/>
    </row>
  </sheetData>
  <sheetProtection selectLockedCells="1" formatCells="0" formatColumns="0" formatRows="0" insertRows="0" insertColumns="0" insertHyperlinks="0" deleteColumns="0" deleteRows="0" sort="0" autoFilter="0" pivotTables="0"/>
  <mergeCells count="71">
    <mergeCell ref="B1:F1"/>
    <mergeCell ref="G1:K1"/>
    <mergeCell ref="L1:P1"/>
    <mergeCell ref="Q1:U1"/>
    <mergeCell ref="V1:Z1"/>
    <mergeCell ref="B3:F3"/>
    <mergeCell ref="G3:K3"/>
    <mergeCell ref="L3:P3"/>
    <mergeCell ref="Q3:U3"/>
    <mergeCell ref="V3:Z3"/>
    <mergeCell ref="W4:Z4"/>
    <mergeCell ref="C6:F6"/>
    <mergeCell ref="H6:K6"/>
    <mergeCell ref="M6:P6"/>
    <mergeCell ref="R6:U6"/>
    <mergeCell ref="B7:F7"/>
    <mergeCell ref="G7:K7"/>
    <mergeCell ref="L7:P7"/>
    <mergeCell ref="Q7:U7"/>
    <mergeCell ref="V7:Z7"/>
    <mergeCell ref="W8:Z8"/>
    <mergeCell ref="C10:F10"/>
    <mergeCell ref="H10:K10"/>
    <mergeCell ref="M10:P10"/>
    <mergeCell ref="R10:U10"/>
    <mergeCell ref="B11:F11"/>
    <mergeCell ref="G11:K11"/>
    <mergeCell ref="L11:P11"/>
    <mergeCell ref="Q11:U11"/>
    <mergeCell ref="V11:Z11"/>
    <mergeCell ref="AA11:AE11"/>
    <mergeCell ref="W12:Z12"/>
    <mergeCell ref="C14:F14"/>
    <mergeCell ref="H14:K14"/>
    <mergeCell ref="M14:P14"/>
    <mergeCell ref="R14:U14"/>
    <mergeCell ref="AB14:AE14"/>
    <mergeCell ref="B15:F15"/>
    <mergeCell ref="G15:K15"/>
    <mergeCell ref="L15:P15"/>
    <mergeCell ref="Q15:U15"/>
    <mergeCell ref="V15:Z15"/>
    <mergeCell ref="R16:U16"/>
    <mergeCell ref="W16:Z16"/>
    <mergeCell ref="C18:F18"/>
    <mergeCell ref="H18:K18"/>
    <mergeCell ref="M18:P18"/>
    <mergeCell ref="E19:G19"/>
    <mergeCell ref="J19:L19"/>
    <mergeCell ref="D20:G20"/>
    <mergeCell ref="I20:L20"/>
    <mergeCell ref="D21:G21"/>
    <mergeCell ref="I21:L21"/>
    <mergeCell ref="D22:G22"/>
    <mergeCell ref="I22:L22"/>
    <mergeCell ref="C20:C22"/>
    <mergeCell ref="C23:C24"/>
    <mergeCell ref="H20:H22"/>
    <mergeCell ref="H23:H24"/>
    <mergeCell ref="Q17:Q18"/>
    <mergeCell ref="V5:V6"/>
    <mergeCell ref="V9:V10"/>
    <mergeCell ref="V13:V14"/>
    <mergeCell ref="V17:V18"/>
    <mergeCell ref="W9:Z10"/>
    <mergeCell ref="W13:Z14"/>
    <mergeCell ref="D23:G24"/>
    <mergeCell ref="I23:L24"/>
    <mergeCell ref="W5:Z6"/>
    <mergeCell ref="W17:Z18"/>
    <mergeCell ref="R17:U18"/>
  </mergeCells>
  <conditionalFormatting sqref="R8">
    <cfRule type="cellIs" dxfId="0" priority="19" operator="equal">
      <formula>0</formula>
    </cfRule>
  </conditionalFormatting>
  <conditionalFormatting sqref="S8">
    <cfRule type="cellIs" dxfId="0" priority="20" operator="equal">
      <formula>0</formula>
    </cfRule>
  </conditionalFormatting>
  <conditionalFormatting sqref="H12">
    <cfRule type="cellIs" dxfId="0" priority="13" operator="equal">
      <formula>0</formula>
    </cfRule>
  </conditionalFormatting>
  <conditionalFormatting sqref="I12">
    <cfRule type="cellIs" dxfId="0" priority="14" operator="equal">
      <formula>0</formula>
    </cfRule>
  </conditionalFormatting>
  <conditionalFormatting sqref="R12">
    <cfRule type="cellIs" dxfId="0" priority="16" operator="equal">
      <formula>0</formula>
    </cfRule>
  </conditionalFormatting>
  <conditionalFormatting sqref="S12">
    <cfRule type="cellIs" dxfId="0" priority="17" operator="equal">
      <formula>0</formula>
    </cfRule>
  </conditionalFormatting>
  <conditionalFormatting sqref="AB12">
    <cfRule type="cellIs" dxfId="0" priority="1" operator="equal">
      <formula>0</formula>
    </cfRule>
  </conditionalFormatting>
  <conditionalFormatting sqref="AC12">
    <cfRule type="cellIs" dxfId="0" priority="2" operator="equal">
      <formula>0</formula>
    </cfRule>
  </conditionalFormatting>
  <conditionalFormatting sqref="C16">
    <cfRule type="cellIs" dxfId="0" priority="7" operator="equal">
      <formula>0</formula>
    </cfRule>
  </conditionalFormatting>
  <conditionalFormatting sqref="D16">
    <cfRule type="cellIs" dxfId="0" priority="8" operator="equal">
      <formula>0</formula>
    </cfRule>
  </conditionalFormatting>
  <conditionalFormatting sqref="H16">
    <cfRule type="cellIs" dxfId="0" priority="4" operator="equal">
      <formula>0</formula>
    </cfRule>
  </conditionalFormatting>
  <conditionalFormatting sqref="I16">
    <cfRule type="cellIs" dxfId="0" priority="5" operator="equal">
      <formula>0</formula>
    </cfRule>
  </conditionalFormatting>
  <conditionalFormatting sqref="C4:D5 H4:I5 M16:N17 M12:N13 C12:D13 M8:N9 M4:N5 H8:I9 C8:D9">
    <cfRule type="cellIs" dxfId="1" priority="26" operator="equal">
      <formula>0</formula>
    </cfRule>
  </conditionalFormatting>
  <conditionalFormatting sqref="C4 M16 H4 M12 C12 C8 H8 M8 R4 M4">
    <cfRule type="cellIs" dxfId="0" priority="22" operator="equal">
      <formula>0</formula>
    </cfRule>
  </conditionalFormatting>
  <conditionalFormatting sqref="D4 N16 N12 I8 D12 D8 N8 S4 N4 I4">
    <cfRule type="cellIs" dxfId="0" priority="23" operator="equal">
      <formula>0</formula>
    </cfRule>
  </conditionalFormatting>
  <conditionalFormatting sqref="R4:S5">
    <cfRule type="cellIs" dxfId="1" priority="24" operator="equal">
      <formula>0</formula>
    </cfRule>
  </conditionalFormatting>
  <conditionalFormatting sqref="R8:S9">
    <cfRule type="cellIs" dxfId="1" priority="21" operator="equal">
      <formula>0</formula>
    </cfRule>
  </conditionalFormatting>
  <conditionalFormatting sqref="H12:I13">
    <cfRule type="cellIs" dxfId="1" priority="15" operator="equal">
      <formula>0</formula>
    </cfRule>
  </conditionalFormatting>
  <conditionalFormatting sqref="R12:S13">
    <cfRule type="cellIs" dxfId="1" priority="18" operator="equal">
      <formula>0</formula>
    </cfRule>
  </conditionalFormatting>
  <conditionalFormatting sqref="AB12:AC13">
    <cfRule type="cellIs" dxfId="1" priority="3" operator="equal">
      <formula>0</formula>
    </cfRule>
  </conditionalFormatting>
  <conditionalFormatting sqref="C16:D17">
    <cfRule type="cellIs" dxfId="1" priority="9" operator="equal">
      <formula>0</formula>
    </cfRule>
  </conditionalFormatting>
  <conditionalFormatting sqref="H16:I17">
    <cfRule type="cellIs" dxfId="1" priority="6" operator="equal">
      <formula>0</formula>
    </cfRule>
  </conditionalFormatting>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8"/>
  </sheetPr>
  <dimension ref="B1:AE47"/>
  <sheetViews>
    <sheetView showGridLines="0" zoomScale="70" zoomScaleNormal="70" workbookViewId="0">
      <selection activeCell="AB12" sqref="AB12"/>
    </sheetView>
  </sheetViews>
  <sheetFormatPr defaultColWidth="8.89090909090909" defaultRowHeight="16.5"/>
  <cols>
    <col min="1" max="1" width="8.89090909090909" style="11"/>
    <col min="2" max="2" width="5.78181818181818" style="11" customWidth="1"/>
    <col min="3" max="4" width="8.78181818181818" style="11" customWidth="1"/>
    <col min="5" max="5" width="5.78181818181818" style="11" customWidth="1"/>
    <col min="6" max="6" width="14.7818181818182" style="11" customWidth="1"/>
    <col min="7" max="7" width="5.78181818181818" style="11" customWidth="1"/>
    <col min="8" max="9" width="8.78181818181818" style="11" customWidth="1"/>
    <col min="10" max="10" width="5.78181818181818" style="11" customWidth="1"/>
    <col min="11" max="11" width="14.7818181818182" style="11" customWidth="1"/>
    <col min="12" max="12" width="5.78181818181818" style="11" customWidth="1"/>
    <col min="13" max="14" width="8.78181818181818" style="11" customWidth="1"/>
    <col min="15" max="15" width="5.78181818181818" style="11" customWidth="1"/>
    <col min="16" max="16" width="14.7818181818182" style="11" customWidth="1"/>
    <col min="17" max="17" width="5.78181818181818" style="11" customWidth="1"/>
    <col min="18" max="19" width="8.78181818181818" style="11" customWidth="1"/>
    <col min="20" max="20" width="5.78181818181818" style="11" customWidth="1"/>
    <col min="21" max="21" width="14.7818181818182" style="11" customWidth="1"/>
    <col min="22" max="22" width="5.70909090909091" style="11" customWidth="1"/>
    <col min="23" max="24" width="8.89090909090909" style="11"/>
    <col min="25" max="25" width="6.66363636363636" style="11" customWidth="1"/>
    <col min="26" max="26" width="13.8545454545455" style="11" customWidth="1"/>
    <col min="27" max="27" width="4.79090909090909" style="11" customWidth="1"/>
    <col min="28" max="29" width="8.89090909090909" style="11"/>
    <col min="30" max="30" width="4.79090909090909" style="11" customWidth="1"/>
    <col min="31" max="31" width="14.7818181818182" style="11" customWidth="1"/>
    <col min="32" max="16384" width="8.89090909090909" style="11"/>
  </cols>
  <sheetData>
    <row r="1" ht="61" customHeight="1" spans="2:26">
      <c r="B1" s="92" t="s">
        <v>116</v>
      </c>
      <c r="C1" s="93"/>
      <c r="D1" s="93"/>
      <c r="E1" s="93"/>
      <c r="F1" s="93"/>
      <c r="G1" s="94" t="s">
        <v>117</v>
      </c>
      <c r="H1" s="95"/>
      <c r="I1" s="95"/>
      <c r="J1" s="95"/>
      <c r="K1" s="95"/>
      <c r="L1" s="106"/>
      <c r="M1" s="16"/>
      <c r="N1" s="16"/>
      <c r="O1" s="16"/>
      <c r="P1" s="16"/>
      <c r="Q1" s="106"/>
      <c r="R1" s="16"/>
      <c r="S1" s="16"/>
      <c r="T1" s="16"/>
      <c r="U1" s="16"/>
      <c r="V1" s="113" t="s">
        <v>118</v>
      </c>
      <c r="W1" s="114"/>
      <c r="X1" s="114"/>
      <c r="Y1" s="114"/>
      <c r="Z1" s="114"/>
    </row>
    <row r="2" ht="12" customHeight="1" spans="2:21">
      <c r="B2" s="96"/>
      <c r="C2" s="18"/>
      <c r="D2" s="18"/>
      <c r="E2" s="18"/>
      <c r="F2" s="18"/>
      <c r="G2" s="96"/>
      <c r="H2" s="18"/>
      <c r="I2" s="18"/>
      <c r="J2" s="18"/>
      <c r="K2" s="18"/>
      <c r="L2" s="96"/>
      <c r="M2" s="18"/>
      <c r="N2" s="18"/>
      <c r="O2" s="18"/>
      <c r="P2" s="18"/>
      <c r="Q2" s="96"/>
      <c r="R2" s="18"/>
      <c r="S2" s="18"/>
      <c r="T2" s="18"/>
      <c r="U2" s="18"/>
    </row>
    <row r="3" ht="15" customHeight="1" spans="2:26">
      <c r="B3" s="320" t="s">
        <v>119</v>
      </c>
      <c r="C3" s="20"/>
      <c r="D3" s="20"/>
      <c r="E3" s="20"/>
      <c r="F3" s="20"/>
      <c r="G3" s="320" t="s">
        <v>120</v>
      </c>
      <c r="H3" s="20"/>
      <c r="I3" s="20"/>
      <c r="J3" s="20"/>
      <c r="K3" s="20"/>
      <c r="L3" s="320" t="s">
        <v>121</v>
      </c>
      <c r="M3" s="20"/>
      <c r="N3" s="20"/>
      <c r="O3" s="20"/>
      <c r="P3" s="20"/>
      <c r="Q3" s="320" t="s">
        <v>122</v>
      </c>
      <c r="R3" s="20"/>
      <c r="S3" s="20"/>
      <c r="T3" s="20"/>
      <c r="U3" s="20"/>
      <c r="V3" s="20" t="s">
        <v>46</v>
      </c>
      <c r="W3" s="20"/>
      <c r="X3" s="20"/>
      <c r="Y3" s="20"/>
      <c r="Z3" s="128"/>
    </row>
    <row r="4" ht="48" customHeight="1" spans="2:26">
      <c r="B4" s="25" t="s">
        <v>47</v>
      </c>
      <c r="C4" s="48">
        <v>1</v>
      </c>
      <c r="D4" s="68">
        <v>0</v>
      </c>
      <c r="E4" s="25" t="s">
        <v>48</v>
      </c>
      <c r="F4" s="69" t="s">
        <v>81</v>
      </c>
      <c r="G4" s="25" t="s">
        <v>47</v>
      </c>
      <c r="H4" s="48">
        <v>1</v>
      </c>
      <c r="I4" s="68">
        <v>1</v>
      </c>
      <c r="J4" s="25" t="s">
        <v>48</v>
      </c>
      <c r="K4" s="69" t="s">
        <v>123</v>
      </c>
      <c r="L4" s="25" t="s">
        <v>47</v>
      </c>
      <c r="M4" s="48">
        <v>1</v>
      </c>
      <c r="N4" s="68">
        <v>1</v>
      </c>
      <c r="O4" s="25" t="s">
        <v>48</v>
      </c>
      <c r="P4" s="69" t="s">
        <v>124</v>
      </c>
      <c r="Q4" s="25" t="s">
        <v>47</v>
      </c>
      <c r="R4" s="48">
        <v>0</v>
      </c>
      <c r="S4" s="68">
        <v>1</v>
      </c>
      <c r="T4" s="25" t="s">
        <v>48</v>
      </c>
      <c r="U4" s="69" t="s">
        <v>123</v>
      </c>
      <c r="V4" s="25" t="s">
        <v>50</v>
      </c>
      <c r="W4" s="162" t="s">
        <v>125</v>
      </c>
      <c r="X4" s="163"/>
      <c r="Y4" s="163"/>
      <c r="Z4" s="163"/>
    </row>
    <row r="5" ht="48" customHeight="1" spans="2:26">
      <c r="B5" s="25" t="s">
        <v>52</v>
      </c>
      <c r="C5" s="49">
        <v>4</v>
      </c>
      <c r="D5" s="70">
        <v>0</v>
      </c>
      <c r="E5" s="25" t="s">
        <v>55</v>
      </c>
      <c r="F5" s="69" t="s">
        <v>54</v>
      </c>
      <c r="G5" s="25" t="s">
        <v>52</v>
      </c>
      <c r="H5" s="49">
        <v>5</v>
      </c>
      <c r="I5" s="70">
        <v>0</v>
      </c>
      <c r="J5" s="25" t="s">
        <v>55</v>
      </c>
      <c r="K5" s="69" t="s">
        <v>126</v>
      </c>
      <c r="L5" s="25" t="s">
        <v>52</v>
      </c>
      <c r="M5" s="49">
        <v>2</v>
      </c>
      <c r="N5" s="70">
        <v>0</v>
      </c>
      <c r="O5" s="25" t="s">
        <v>55</v>
      </c>
      <c r="P5" s="69" t="s">
        <v>84</v>
      </c>
      <c r="Q5" s="25" t="s">
        <v>52</v>
      </c>
      <c r="R5" s="49">
        <v>2</v>
      </c>
      <c r="S5" s="70">
        <v>1</v>
      </c>
      <c r="T5" s="25" t="s">
        <v>55</v>
      </c>
      <c r="U5" s="69" t="str">
        <f>_xlfn.DISPIMG("ID_40C0CF1C9E304AD39D41100E3C91254C",1)</f>
        <v>=DISPIMG("ID_40C0CF1C9E304AD39D41100E3C91254C",1)</v>
      </c>
      <c r="V5" s="27" t="s">
        <v>56</v>
      </c>
      <c r="W5" s="282" t="s">
        <v>127</v>
      </c>
      <c r="X5" s="457"/>
      <c r="Y5" s="457"/>
      <c r="Z5" s="457"/>
    </row>
    <row r="6" ht="70" customHeight="1" spans="2:26">
      <c r="B6" s="33" t="s">
        <v>58</v>
      </c>
      <c r="C6" s="157" t="s">
        <v>128</v>
      </c>
      <c r="D6" s="98"/>
      <c r="E6" s="98"/>
      <c r="F6" s="98"/>
      <c r="G6" s="33" t="s">
        <v>58</v>
      </c>
      <c r="H6" s="449" t="s">
        <v>129</v>
      </c>
      <c r="I6" s="225"/>
      <c r="J6" s="225"/>
      <c r="K6" s="225"/>
      <c r="L6" s="33" t="s">
        <v>58</v>
      </c>
      <c r="M6" s="452" t="s">
        <v>130</v>
      </c>
      <c r="N6" s="108"/>
      <c r="O6" s="108"/>
      <c r="P6" s="108"/>
      <c r="Q6" s="33" t="s">
        <v>58</v>
      </c>
      <c r="R6" s="449" t="s">
        <v>131</v>
      </c>
      <c r="S6" s="225"/>
      <c r="T6" s="225"/>
      <c r="U6" s="225"/>
      <c r="V6" s="33"/>
      <c r="W6" s="458"/>
      <c r="X6" s="459"/>
      <c r="Y6" s="459"/>
      <c r="Z6" s="459"/>
    </row>
    <row r="7" ht="15" customHeight="1" spans="2:31">
      <c r="B7" s="45" t="s">
        <v>132</v>
      </c>
      <c r="C7" s="45"/>
      <c r="D7" s="45"/>
      <c r="E7" s="45"/>
      <c r="F7" s="45"/>
      <c r="G7" s="35" t="s">
        <v>133</v>
      </c>
      <c r="H7" s="35"/>
      <c r="I7" s="35"/>
      <c r="J7" s="35"/>
      <c r="K7" s="35"/>
      <c r="L7" s="322" t="s">
        <v>134</v>
      </c>
      <c r="M7" s="45"/>
      <c r="N7" s="45"/>
      <c r="O7" s="45"/>
      <c r="P7" s="45"/>
      <c r="Q7" s="322" t="s">
        <v>135</v>
      </c>
      <c r="R7" s="45"/>
      <c r="S7" s="45"/>
      <c r="T7" s="45"/>
      <c r="U7" s="45"/>
      <c r="V7" s="20" t="s">
        <v>67</v>
      </c>
      <c r="W7" s="20"/>
      <c r="X7" s="20"/>
      <c r="Y7" s="20"/>
      <c r="Z7" s="129"/>
      <c r="AA7" s="35" t="s">
        <v>136</v>
      </c>
      <c r="AB7" s="35"/>
      <c r="AC7" s="35"/>
      <c r="AD7" s="35"/>
      <c r="AE7" s="35"/>
    </row>
    <row r="8" ht="48" customHeight="1" spans="2:31">
      <c r="B8" s="25" t="s">
        <v>47</v>
      </c>
      <c r="C8" s="48">
        <v>1</v>
      </c>
      <c r="D8" s="68">
        <v>0</v>
      </c>
      <c r="E8" s="25" t="s">
        <v>48</v>
      </c>
      <c r="F8" s="69" t="s">
        <v>81</v>
      </c>
      <c r="G8" s="25" t="s">
        <v>47</v>
      </c>
      <c r="H8" s="48">
        <v>1</v>
      </c>
      <c r="I8" s="68">
        <v>0</v>
      </c>
      <c r="J8" s="25" t="s">
        <v>48</v>
      </c>
      <c r="K8" s="69" t="str">
        <f>_xlfn.DISPIMG("ID_4AEE9A02CA4F4AFE9B81D430DC91BCA1",1)</f>
        <v>=DISPIMG("ID_4AEE9A02CA4F4AFE9B81D430DC91BCA1",1)</v>
      </c>
      <c r="L8" s="25" t="s">
        <v>47</v>
      </c>
      <c r="M8" s="48">
        <v>0</v>
      </c>
      <c r="N8" s="68">
        <v>1</v>
      </c>
      <c r="O8" s="25" t="s">
        <v>48</v>
      </c>
      <c r="P8" s="69" t="s">
        <v>124</v>
      </c>
      <c r="Q8" s="25" t="s">
        <v>47</v>
      </c>
      <c r="R8" s="48">
        <v>1</v>
      </c>
      <c r="S8" s="68">
        <v>1</v>
      </c>
      <c r="T8" s="25" t="s">
        <v>48</v>
      </c>
      <c r="U8" s="69" t="s">
        <v>123</v>
      </c>
      <c r="V8" s="25" t="s">
        <v>50</v>
      </c>
      <c r="W8" s="121" t="s">
        <v>137</v>
      </c>
      <c r="X8" s="122"/>
      <c r="Y8" s="122"/>
      <c r="Z8" s="130"/>
      <c r="AA8" s="25" t="s">
        <v>47</v>
      </c>
      <c r="AB8" s="48">
        <v>0</v>
      </c>
      <c r="AC8" s="68">
        <v>1</v>
      </c>
      <c r="AD8" s="25" t="s">
        <v>48</v>
      </c>
      <c r="AE8" s="69" t="s">
        <v>123</v>
      </c>
    </row>
    <row r="9" ht="48" customHeight="1" spans="2:31">
      <c r="B9" s="25" t="s">
        <v>52</v>
      </c>
      <c r="C9" s="49">
        <v>4</v>
      </c>
      <c r="D9" s="70">
        <v>0</v>
      </c>
      <c r="E9" s="25" t="s">
        <v>55</v>
      </c>
      <c r="F9" s="69" t="str">
        <f>_xlfn.DISPIMG("ID_2841082023F74F2782B714FBAF7B33EE",1)</f>
        <v>=DISPIMG("ID_2841082023F74F2782B714FBAF7B33EE",1)</v>
      </c>
      <c r="G9" s="25" t="s">
        <v>52</v>
      </c>
      <c r="H9" s="49">
        <v>3</v>
      </c>
      <c r="I9" s="70">
        <v>0</v>
      </c>
      <c r="J9" s="25" t="s">
        <v>55</v>
      </c>
      <c r="K9" s="69" t="s">
        <v>138</v>
      </c>
      <c r="L9" s="25" t="s">
        <v>52</v>
      </c>
      <c r="M9" s="49">
        <v>3</v>
      </c>
      <c r="N9" s="70">
        <v>0</v>
      </c>
      <c r="O9" s="25" t="s">
        <v>55</v>
      </c>
      <c r="P9" s="69" t="s">
        <v>84</v>
      </c>
      <c r="Q9" s="25" t="s">
        <v>52</v>
      </c>
      <c r="R9" s="49">
        <v>7</v>
      </c>
      <c r="S9" s="70">
        <v>1</v>
      </c>
      <c r="T9" s="25" t="s">
        <v>55</v>
      </c>
      <c r="U9" s="69" t="s">
        <v>84</v>
      </c>
      <c r="V9" s="27" t="s">
        <v>56</v>
      </c>
      <c r="W9" s="123" t="s">
        <v>139</v>
      </c>
      <c r="X9" s="118"/>
      <c r="Y9" s="118"/>
      <c r="Z9" s="131"/>
      <c r="AA9" s="25" t="s">
        <v>52</v>
      </c>
      <c r="AB9" s="49">
        <v>5</v>
      </c>
      <c r="AC9" s="70">
        <v>0</v>
      </c>
      <c r="AD9" s="25" t="s">
        <v>55</v>
      </c>
      <c r="AE9" s="69" t="s">
        <v>140</v>
      </c>
    </row>
    <row r="10" ht="70" customHeight="1" spans="2:31">
      <c r="B10" s="99" t="s">
        <v>58</v>
      </c>
      <c r="C10" s="145" t="s">
        <v>141</v>
      </c>
      <c r="D10" s="283"/>
      <c r="E10" s="283"/>
      <c r="F10" s="283"/>
      <c r="G10" s="33" t="s">
        <v>58</v>
      </c>
      <c r="H10" s="145" t="s">
        <v>142</v>
      </c>
      <c r="I10" s="283"/>
      <c r="J10" s="283"/>
      <c r="K10" s="283"/>
      <c r="L10" s="99" t="s">
        <v>58</v>
      </c>
      <c r="M10" s="453" t="s">
        <v>143</v>
      </c>
      <c r="N10" s="111"/>
      <c r="O10" s="111"/>
      <c r="P10" s="111"/>
      <c r="Q10" s="99" t="s">
        <v>58</v>
      </c>
      <c r="R10" s="100" t="s">
        <v>144</v>
      </c>
      <c r="S10" s="100"/>
      <c r="T10" s="100"/>
      <c r="U10" s="100"/>
      <c r="V10" s="33"/>
      <c r="W10" s="119"/>
      <c r="X10" s="120"/>
      <c r="Y10" s="120"/>
      <c r="Z10" s="132"/>
      <c r="AA10" s="33" t="s">
        <v>58</v>
      </c>
      <c r="AB10" s="225" t="s">
        <v>145</v>
      </c>
      <c r="AC10" s="103"/>
      <c r="AD10" s="103"/>
      <c r="AE10" s="103"/>
    </row>
    <row r="11" ht="15" customHeight="1" spans="2:26">
      <c r="B11" s="35" t="s">
        <v>146</v>
      </c>
      <c r="C11" s="35"/>
      <c r="D11" s="35"/>
      <c r="E11" s="35"/>
      <c r="F11" s="35"/>
      <c r="G11" s="324" t="s">
        <v>147</v>
      </c>
      <c r="H11" s="35"/>
      <c r="I11" s="35"/>
      <c r="J11" s="35"/>
      <c r="K11" s="35"/>
      <c r="L11" s="324" t="s">
        <v>148</v>
      </c>
      <c r="M11" s="35"/>
      <c r="N11" s="35"/>
      <c r="O11" s="35"/>
      <c r="P11" s="35"/>
      <c r="Q11" s="324" t="s">
        <v>149</v>
      </c>
      <c r="R11" s="35"/>
      <c r="S11" s="35"/>
      <c r="T11" s="35"/>
      <c r="U11" s="35"/>
      <c r="V11" s="20" t="s">
        <v>79</v>
      </c>
      <c r="W11" s="20"/>
      <c r="X11" s="20"/>
      <c r="Y11" s="20"/>
      <c r="Z11" s="129"/>
    </row>
    <row r="12" ht="48" customHeight="1" spans="2:26">
      <c r="B12" s="25" t="s">
        <v>47</v>
      </c>
      <c r="C12" s="48">
        <v>1</v>
      </c>
      <c r="D12" s="68">
        <v>0</v>
      </c>
      <c r="E12" s="25" t="s">
        <v>48</v>
      </c>
      <c r="F12" s="69" t="s">
        <v>124</v>
      </c>
      <c r="G12" s="25" t="s">
        <v>47</v>
      </c>
      <c r="H12" s="48">
        <v>0</v>
      </c>
      <c r="I12" s="68">
        <v>0</v>
      </c>
      <c r="J12" s="25" t="s">
        <v>48</v>
      </c>
      <c r="K12" s="69" t="s">
        <v>81</v>
      </c>
      <c r="L12" s="25" t="s">
        <v>47</v>
      </c>
      <c r="M12" s="48">
        <v>0</v>
      </c>
      <c r="N12" s="68">
        <v>1</v>
      </c>
      <c r="O12" s="25" t="s">
        <v>48</v>
      </c>
      <c r="P12" s="69" t="s">
        <v>138</v>
      </c>
      <c r="Q12" s="25" t="s">
        <v>47</v>
      </c>
      <c r="R12" s="48">
        <v>0</v>
      </c>
      <c r="S12" s="68">
        <v>1</v>
      </c>
      <c r="T12" s="25" t="s">
        <v>48</v>
      </c>
      <c r="U12" s="69" t="s">
        <v>124</v>
      </c>
      <c r="V12" s="25" t="s">
        <v>50</v>
      </c>
      <c r="W12" s="121" t="s">
        <v>150</v>
      </c>
      <c r="X12" s="122"/>
      <c r="Y12" s="122"/>
      <c r="Z12" s="130"/>
    </row>
    <row r="13" ht="48" customHeight="1" spans="2:26">
      <c r="B13" s="25" t="s">
        <v>52</v>
      </c>
      <c r="C13" s="49">
        <v>5</v>
      </c>
      <c r="D13" s="70">
        <v>0</v>
      </c>
      <c r="E13" s="25" t="s">
        <v>55</v>
      </c>
      <c r="F13" s="69" t="str">
        <f>_xlfn.DISPIMG("ID_4DA85EF7DBBC423494A691E5A7349D9A",1)</f>
        <v>=DISPIMG("ID_4DA85EF7DBBC423494A691E5A7349D9A",1)</v>
      </c>
      <c r="G13" s="25" t="s">
        <v>52</v>
      </c>
      <c r="H13" s="49">
        <v>0</v>
      </c>
      <c r="I13" s="70">
        <v>0</v>
      </c>
      <c r="J13" s="25" t="s">
        <v>55</v>
      </c>
      <c r="K13" s="69" t="s">
        <v>54</v>
      </c>
      <c r="L13" s="25" t="s">
        <v>52</v>
      </c>
      <c r="M13" s="454">
        <v>8</v>
      </c>
      <c r="N13" s="70">
        <v>0</v>
      </c>
      <c r="O13" s="25" t="s">
        <v>55</v>
      </c>
      <c r="P13" s="69" t="str">
        <f>_xlfn.DISPIMG("ID_8F89D06D46E945AF859E64B85FC1A5F4",1)</f>
        <v>=DISPIMG("ID_8F89D06D46E945AF859E64B85FC1A5F4",1)</v>
      </c>
      <c r="Q13" s="25" t="s">
        <v>52</v>
      </c>
      <c r="R13" s="49">
        <v>3</v>
      </c>
      <c r="S13" s="70">
        <v>1</v>
      </c>
      <c r="T13" s="25" t="s">
        <v>55</v>
      </c>
      <c r="U13" s="69" t="s">
        <v>84</v>
      </c>
      <c r="V13" s="27" t="s">
        <v>56</v>
      </c>
      <c r="W13" s="282" t="s">
        <v>151</v>
      </c>
      <c r="X13" s="460"/>
      <c r="Y13" s="460"/>
      <c r="Z13" s="465"/>
    </row>
    <row r="14" ht="70" customHeight="1" spans="2:26">
      <c r="B14" s="33" t="s">
        <v>58</v>
      </c>
      <c r="C14" s="145" t="s">
        <v>152</v>
      </c>
      <c r="D14" s="283"/>
      <c r="E14" s="283"/>
      <c r="F14" s="283"/>
      <c r="G14" s="33" t="s">
        <v>58</v>
      </c>
      <c r="H14" s="450" t="s">
        <v>153</v>
      </c>
      <c r="I14" s="208"/>
      <c r="J14" s="208"/>
      <c r="K14" s="208"/>
      <c r="L14" s="33" t="s">
        <v>58</v>
      </c>
      <c r="M14" s="156" t="s">
        <v>154</v>
      </c>
      <c r="N14" s="225"/>
      <c r="O14" s="225"/>
      <c r="P14" s="225"/>
      <c r="Q14" s="33" t="s">
        <v>58</v>
      </c>
      <c r="R14" s="449" t="s">
        <v>155</v>
      </c>
      <c r="S14" s="103"/>
      <c r="T14" s="103"/>
      <c r="U14" s="103"/>
      <c r="V14" s="33"/>
      <c r="W14" s="461"/>
      <c r="X14" s="462"/>
      <c r="Y14" s="462"/>
      <c r="Z14" s="466"/>
    </row>
    <row r="15" ht="15" customHeight="1" spans="2:26">
      <c r="B15" s="322" t="s">
        <v>156</v>
      </c>
      <c r="C15" s="45"/>
      <c r="D15" s="45"/>
      <c r="E15" s="45"/>
      <c r="F15" s="45"/>
      <c r="G15" s="322" t="s">
        <v>157</v>
      </c>
      <c r="H15" s="45"/>
      <c r="I15" s="45"/>
      <c r="J15" s="45"/>
      <c r="K15" s="45"/>
      <c r="L15" s="322" t="s">
        <v>158</v>
      </c>
      <c r="M15" s="45"/>
      <c r="N15" s="45"/>
      <c r="O15" s="45"/>
      <c r="P15" s="45"/>
      <c r="Q15" s="45" t="s">
        <v>159</v>
      </c>
      <c r="R15" s="45"/>
      <c r="S15" s="45"/>
      <c r="T15" s="45"/>
      <c r="U15" s="45"/>
      <c r="V15" s="20" t="s">
        <v>94</v>
      </c>
      <c r="W15" s="20"/>
      <c r="X15" s="20"/>
      <c r="Y15" s="20"/>
      <c r="Z15" s="129"/>
    </row>
    <row r="16" ht="48" customHeight="1" spans="2:26">
      <c r="B16" s="25" t="s">
        <v>47</v>
      </c>
      <c r="C16" s="48">
        <v>1</v>
      </c>
      <c r="D16" s="68">
        <v>1</v>
      </c>
      <c r="E16" s="25" t="s">
        <v>48</v>
      </c>
      <c r="F16" s="69" t="s">
        <v>160</v>
      </c>
      <c r="G16" s="25" t="s">
        <v>47</v>
      </c>
      <c r="H16" s="48">
        <v>1</v>
      </c>
      <c r="I16" s="68">
        <v>1</v>
      </c>
      <c r="J16" s="25" t="s">
        <v>48</v>
      </c>
      <c r="K16" s="69" t="str">
        <f>_xlfn.DISPIMG("ID_8F89D06D46E945AF859E64B85FC1A5F4",1)</f>
        <v>=DISPIMG("ID_8F89D06D46E945AF859E64B85FC1A5F4",1)</v>
      </c>
      <c r="L16" s="25" t="s">
        <v>47</v>
      </c>
      <c r="M16" s="224">
        <v>1</v>
      </c>
      <c r="N16" s="68">
        <v>1</v>
      </c>
      <c r="O16" s="25" t="s">
        <v>48</v>
      </c>
      <c r="P16" s="69" t="s">
        <v>161</v>
      </c>
      <c r="Q16" s="25" t="s">
        <v>47</v>
      </c>
      <c r="R16" s="48">
        <v>1</v>
      </c>
      <c r="S16" s="68">
        <v>0</v>
      </c>
      <c r="T16" s="25" t="s">
        <v>48</v>
      </c>
      <c r="U16" s="69" t="s">
        <v>82</v>
      </c>
      <c r="V16" s="25" t="s">
        <v>50</v>
      </c>
      <c r="W16" s="121" t="s">
        <v>162</v>
      </c>
      <c r="X16" s="122"/>
      <c r="Y16" s="122"/>
      <c r="Z16" s="130"/>
    </row>
    <row r="17" ht="48" customHeight="1" spans="2:26">
      <c r="B17" s="25" t="s">
        <v>52</v>
      </c>
      <c r="C17" s="49">
        <v>12</v>
      </c>
      <c r="D17" s="70">
        <v>0</v>
      </c>
      <c r="E17" s="25" t="s">
        <v>55</v>
      </c>
      <c r="F17" s="69" t="s">
        <v>126</v>
      </c>
      <c r="G17" s="25" t="s">
        <v>52</v>
      </c>
      <c r="H17" s="49">
        <v>0</v>
      </c>
      <c r="I17" s="70">
        <v>1</v>
      </c>
      <c r="J17" s="25" t="s">
        <v>55</v>
      </c>
      <c r="K17" s="69" t="str">
        <f>_xlfn.DISPIMG("ID_4DA85EF7DBBC423494A691E5A7349D9A",1)</f>
        <v>=DISPIMG("ID_4DA85EF7DBBC423494A691E5A7349D9A",1)</v>
      </c>
      <c r="L17" s="25" t="s">
        <v>52</v>
      </c>
      <c r="M17" s="49">
        <v>12</v>
      </c>
      <c r="N17" s="70">
        <v>1</v>
      </c>
      <c r="O17" s="25" t="s">
        <v>55</v>
      </c>
      <c r="P17" s="69" t="s">
        <v>163</v>
      </c>
      <c r="Q17" s="25" t="s">
        <v>52</v>
      </c>
      <c r="R17" s="49">
        <v>11</v>
      </c>
      <c r="S17" s="70">
        <v>1</v>
      </c>
      <c r="T17" s="25" t="s">
        <v>55</v>
      </c>
      <c r="U17" s="69" t="s">
        <v>54</v>
      </c>
      <c r="V17" s="27" t="s">
        <v>56</v>
      </c>
      <c r="W17" s="463" t="s">
        <v>164</v>
      </c>
      <c r="X17" s="118"/>
      <c r="Y17" s="118"/>
      <c r="Z17" s="131"/>
    </row>
    <row r="18" ht="70" customHeight="1" spans="2:26">
      <c r="B18" s="54" t="s">
        <v>58</v>
      </c>
      <c r="C18" s="451" t="s">
        <v>165</v>
      </c>
      <c r="D18" s="209"/>
      <c r="E18" s="209"/>
      <c r="F18" s="209"/>
      <c r="G18" s="54" t="s">
        <v>58</v>
      </c>
      <c r="H18" s="451" t="s">
        <v>166</v>
      </c>
      <c r="I18" s="179"/>
      <c r="J18" s="179"/>
      <c r="K18" s="179"/>
      <c r="L18" s="54" t="s">
        <v>58</v>
      </c>
      <c r="M18" s="455" t="s">
        <v>167</v>
      </c>
      <c r="N18" s="456"/>
      <c r="O18" s="456"/>
      <c r="P18" s="456"/>
      <c r="Q18" s="54" t="s">
        <v>58</v>
      </c>
      <c r="R18" s="464" t="s">
        <v>168</v>
      </c>
      <c r="S18" s="295"/>
      <c r="T18" s="295"/>
      <c r="U18" s="295"/>
      <c r="V18" s="33"/>
      <c r="W18" s="119"/>
      <c r="X18" s="120"/>
      <c r="Y18" s="120"/>
      <c r="Z18" s="132"/>
    </row>
    <row r="19" spans="3:7">
      <c r="C19" s="180" t="s">
        <v>169</v>
      </c>
      <c r="D19" s="181" t="s">
        <v>104</v>
      </c>
      <c r="E19" s="181" t="s">
        <v>170</v>
      </c>
      <c r="F19" s="181"/>
      <c r="G19" s="181"/>
    </row>
    <row r="20" spans="3:7">
      <c r="C20" s="182"/>
      <c r="D20" s="255" t="s">
        <v>108</v>
      </c>
      <c r="E20" s="256"/>
      <c r="F20" s="257"/>
      <c r="G20" s="258"/>
    </row>
    <row r="21" spans="3:7">
      <c r="C21" s="182"/>
      <c r="D21" s="259" t="s">
        <v>110</v>
      </c>
      <c r="E21" s="260"/>
      <c r="F21" s="261"/>
      <c r="G21" s="262"/>
    </row>
    <row r="22" spans="3:7">
      <c r="C22" s="182"/>
      <c r="D22" s="259" t="s">
        <v>112</v>
      </c>
      <c r="E22" s="260"/>
      <c r="F22" s="263"/>
      <c r="G22" s="264"/>
    </row>
    <row r="23" spans="3:7">
      <c r="C23" s="265" t="s">
        <v>113</v>
      </c>
      <c r="D23" s="266" t="s">
        <v>171</v>
      </c>
      <c r="E23" s="267"/>
      <c r="F23" s="267"/>
      <c r="G23" s="268"/>
    </row>
    <row r="24" ht="16.8" customHeight="1" spans="3:7">
      <c r="C24" s="269"/>
      <c r="D24" s="270"/>
      <c r="E24" s="271"/>
      <c r="F24" s="271"/>
      <c r="G24" s="272"/>
    </row>
    <row r="47" spans="8:8">
      <c r="H47"/>
    </row>
  </sheetData>
  <sheetProtection selectLockedCells="1" formatCells="0" formatColumns="0" formatRows="0" insertRows="0" insertColumns="0" insertHyperlinks="0" deleteColumns="0" deleteRows="0" sort="0" autoFilter="0" pivotTables="0"/>
  <mergeCells count="63">
    <mergeCell ref="B1:F1"/>
    <mergeCell ref="G1:K1"/>
    <mergeCell ref="L1:P1"/>
    <mergeCell ref="Q1:U1"/>
    <mergeCell ref="V1:Z1"/>
    <mergeCell ref="B3:F3"/>
    <mergeCell ref="G3:K3"/>
    <mergeCell ref="L3:P3"/>
    <mergeCell ref="Q3:U3"/>
    <mergeCell ref="V3:Z3"/>
    <mergeCell ref="W4:Z4"/>
    <mergeCell ref="C6:F6"/>
    <mergeCell ref="H6:K6"/>
    <mergeCell ref="M6:P6"/>
    <mergeCell ref="R6:U6"/>
    <mergeCell ref="B7:F7"/>
    <mergeCell ref="G7:K7"/>
    <mergeCell ref="L7:P7"/>
    <mergeCell ref="Q7:U7"/>
    <mergeCell ref="V7:Z7"/>
    <mergeCell ref="AA7:AE7"/>
    <mergeCell ref="W8:Z8"/>
    <mergeCell ref="C10:F10"/>
    <mergeCell ref="H10:K10"/>
    <mergeCell ref="M10:P10"/>
    <mergeCell ref="R10:U10"/>
    <mergeCell ref="AB10:AE10"/>
    <mergeCell ref="B11:F11"/>
    <mergeCell ref="G11:K11"/>
    <mergeCell ref="L11:P11"/>
    <mergeCell ref="Q11:U11"/>
    <mergeCell ref="V11:Z11"/>
    <mergeCell ref="W12:Z12"/>
    <mergeCell ref="C14:F14"/>
    <mergeCell ref="H14:K14"/>
    <mergeCell ref="M14:P14"/>
    <mergeCell ref="R14:U14"/>
    <mergeCell ref="B15:F15"/>
    <mergeCell ref="G15:K15"/>
    <mergeCell ref="L15:P15"/>
    <mergeCell ref="Q15:U15"/>
    <mergeCell ref="V15:Z15"/>
    <mergeCell ref="W16:Z16"/>
    <mergeCell ref="C18:F18"/>
    <mergeCell ref="H18:K18"/>
    <mergeCell ref="M18:P18"/>
    <mergeCell ref="R18:U18"/>
    <mergeCell ref="E19:G19"/>
    <mergeCell ref="D20:E20"/>
    <mergeCell ref="D21:E21"/>
    <mergeCell ref="D22:E22"/>
    <mergeCell ref="C20:C22"/>
    <mergeCell ref="C23:C24"/>
    <mergeCell ref="V5:V6"/>
    <mergeCell ref="V9:V10"/>
    <mergeCell ref="V13:V14"/>
    <mergeCell ref="V17:V18"/>
    <mergeCell ref="W5:Z6"/>
    <mergeCell ref="W9:Z10"/>
    <mergeCell ref="W13:Z14"/>
    <mergeCell ref="W17:Z18"/>
    <mergeCell ref="F20:G22"/>
    <mergeCell ref="D23:G24"/>
  </mergeCells>
  <conditionalFormatting sqref="AB8">
    <cfRule type="cellIs" dxfId="0" priority="1" operator="equal">
      <formula>0</formula>
    </cfRule>
  </conditionalFormatting>
  <conditionalFormatting sqref="AC8">
    <cfRule type="cellIs" dxfId="0" priority="2" operator="equal">
      <formula>0</formula>
    </cfRule>
  </conditionalFormatting>
  <conditionalFormatting sqref="C4:D5 H4:I5 M16:N17 H16:I17 C16:D17 M12:N13 H12:I13 C12:D13 M8:N9 M4:N5 H8:I9 C8:D9">
    <cfRule type="cellIs" dxfId="1" priority="7" operator="equal">
      <formula>0</formula>
    </cfRule>
  </conditionalFormatting>
  <conditionalFormatting sqref="C4 R16 M16 H16 C16 H4 R12 M12 H12 C12 C8 H8 M8 R8 R4 M4">
    <cfRule type="cellIs" dxfId="0" priority="4" operator="equal">
      <formula>0</formula>
    </cfRule>
  </conditionalFormatting>
  <conditionalFormatting sqref="D4 D16 I16 N16 S16 S12 N12 I8 I12 D12 D8 N8 S8 S4 N4 I4">
    <cfRule type="cellIs" dxfId="0" priority="5" operator="equal">
      <formula>0</formula>
    </cfRule>
  </conditionalFormatting>
  <conditionalFormatting sqref="R4:S5 R16:S17 R12:S13 R8:S9">
    <cfRule type="cellIs" dxfId="1" priority="6" operator="equal">
      <formula>0</formula>
    </cfRule>
  </conditionalFormatting>
  <conditionalFormatting sqref="AB8:AC9">
    <cfRule type="cellIs" dxfId="1" priority="3" operator="equal">
      <formula>0</formula>
    </cfRule>
  </conditionalFormatting>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tint="0.25"/>
  </sheetPr>
  <dimension ref="B1:AE43"/>
  <sheetViews>
    <sheetView showGridLines="0" zoomScale="70" zoomScaleNormal="70" workbookViewId="0">
      <selection activeCell="AB7" sqref="AB7"/>
    </sheetView>
  </sheetViews>
  <sheetFormatPr defaultColWidth="8.89090909090909" defaultRowHeight="16.5"/>
  <cols>
    <col min="1" max="1" width="8.89090909090909" style="11"/>
    <col min="2" max="2" width="5.78181818181818" style="11" customWidth="1"/>
    <col min="3" max="3" width="10.2181818181818" style="11" customWidth="1"/>
    <col min="4" max="4" width="8.78181818181818" style="11" customWidth="1"/>
    <col min="5" max="5" width="5.78181818181818" style="11" customWidth="1"/>
    <col min="6" max="6" width="14.7818181818182" style="11" customWidth="1"/>
    <col min="7" max="7" width="5.78181818181818" style="11" customWidth="1"/>
    <col min="8" max="9" width="8.78181818181818" style="11" customWidth="1"/>
    <col min="10" max="10" width="5.78181818181818" style="11" customWidth="1"/>
    <col min="11" max="11" width="14.7818181818182" style="11" customWidth="1"/>
    <col min="12" max="12" width="5.78181818181818" style="11" customWidth="1"/>
    <col min="13" max="14" width="8.78181818181818" style="11" customWidth="1"/>
    <col min="15" max="15" width="5.78181818181818" style="11" customWidth="1"/>
    <col min="16" max="16" width="14.7818181818182" style="11" customWidth="1"/>
    <col min="17" max="17" width="5.78181818181818" style="11" customWidth="1"/>
    <col min="18" max="19" width="8.78181818181818" style="11" customWidth="1"/>
    <col min="20" max="20" width="5.78181818181818" style="11" customWidth="1"/>
    <col min="21" max="21" width="14.7818181818182" style="11" customWidth="1"/>
    <col min="22" max="22" width="5.70909090909091" style="11" customWidth="1"/>
    <col min="23" max="24" width="8.89090909090909" style="11"/>
    <col min="25" max="25" width="6.66363636363636" style="11" customWidth="1"/>
    <col min="26" max="26" width="13.8545454545455" style="11" customWidth="1"/>
    <col min="27" max="27" width="4.79090909090909" style="11" customWidth="1"/>
    <col min="28" max="29" width="8.89090909090909" style="11"/>
    <col min="30" max="30" width="4.79090909090909" style="11" customWidth="1"/>
    <col min="31" max="31" width="14.7818181818182" style="11" customWidth="1"/>
    <col min="32" max="16384" width="8.89090909090909" style="11"/>
  </cols>
  <sheetData>
    <row r="1" ht="61" customHeight="1" spans="2:26">
      <c r="B1" s="92" t="s">
        <v>172</v>
      </c>
      <c r="C1" s="93"/>
      <c r="D1" s="93"/>
      <c r="E1" s="93"/>
      <c r="F1" s="93"/>
      <c r="G1" s="94" t="s">
        <v>173</v>
      </c>
      <c r="H1" s="95"/>
      <c r="I1" s="95"/>
      <c r="J1" s="95"/>
      <c r="K1" s="95"/>
      <c r="L1" s="106"/>
      <c r="M1" s="16"/>
      <c r="N1" s="16"/>
      <c r="O1" s="16"/>
      <c r="P1" s="16"/>
      <c r="Q1" s="106"/>
      <c r="R1" s="16"/>
      <c r="S1" s="16"/>
      <c r="T1" s="16"/>
      <c r="U1" s="16"/>
      <c r="V1" s="113" t="s">
        <v>174</v>
      </c>
      <c r="W1" s="114"/>
      <c r="X1" s="114"/>
      <c r="Y1" s="114"/>
      <c r="Z1" s="114"/>
    </row>
    <row r="2" ht="12" customHeight="1" spans="2:21">
      <c r="B2" s="96"/>
      <c r="C2" s="18"/>
      <c r="D2" s="18"/>
      <c r="E2" s="18"/>
      <c r="F2" s="18"/>
      <c r="G2" s="96"/>
      <c r="H2" s="18"/>
      <c r="I2" s="18"/>
      <c r="J2" s="18"/>
      <c r="K2" s="18"/>
      <c r="L2" s="96"/>
      <c r="M2" s="18"/>
      <c r="N2" s="18"/>
      <c r="O2" s="18"/>
      <c r="P2" s="18"/>
      <c r="Q2" s="96"/>
      <c r="R2" s="18"/>
      <c r="S2" s="18"/>
      <c r="T2" s="18"/>
      <c r="U2" s="18"/>
    </row>
    <row r="3" ht="15" customHeight="1" spans="2:26">
      <c r="B3" s="45" t="s">
        <v>175</v>
      </c>
      <c r="C3" s="45"/>
      <c r="D3" s="45"/>
      <c r="E3" s="45"/>
      <c r="F3" s="45"/>
      <c r="G3" s="35" t="s">
        <v>176</v>
      </c>
      <c r="H3" s="35"/>
      <c r="I3" s="35"/>
      <c r="J3" s="35"/>
      <c r="K3" s="35"/>
      <c r="L3" s="20" t="s">
        <v>177</v>
      </c>
      <c r="M3" s="20"/>
      <c r="N3" s="20"/>
      <c r="O3" s="20"/>
      <c r="P3" s="20"/>
      <c r="Q3" s="45" t="s">
        <v>178</v>
      </c>
      <c r="R3" s="45"/>
      <c r="S3" s="45"/>
      <c r="T3" s="45"/>
      <c r="U3" s="45"/>
      <c r="V3" s="20" t="s">
        <v>46</v>
      </c>
      <c r="W3" s="20"/>
      <c r="X3" s="20"/>
      <c r="Y3" s="20"/>
      <c r="Z3" s="129"/>
    </row>
    <row r="4" ht="48" customHeight="1" spans="2:26">
      <c r="B4" s="25" t="s">
        <v>47</v>
      </c>
      <c r="C4" s="48">
        <v>0</v>
      </c>
      <c r="D4" s="68">
        <v>1</v>
      </c>
      <c r="E4" s="25" t="s">
        <v>48</v>
      </c>
      <c r="F4" s="69" t="str">
        <f>_xlfn.DISPIMG("ID_72A1113324084D7FAEE46898E1DF046E",1)</f>
        <v>=DISPIMG("ID_72A1113324084D7FAEE46898E1DF046E",1)</v>
      </c>
      <c r="G4" s="25" t="s">
        <v>47</v>
      </c>
      <c r="H4" s="48">
        <v>0</v>
      </c>
      <c r="I4" s="68">
        <v>1</v>
      </c>
      <c r="J4" s="25" t="s">
        <v>48</v>
      </c>
      <c r="K4" s="69" t="s">
        <v>179</v>
      </c>
      <c r="L4" s="25" t="s">
        <v>47</v>
      </c>
      <c r="M4" s="48">
        <v>0</v>
      </c>
      <c r="N4" s="68">
        <v>0</v>
      </c>
      <c r="O4" s="25" t="s">
        <v>48</v>
      </c>
      <c r="P4" s="69" t="s">
        <v>179</v>
      </c>
      <c r="Q4" s="25" t="s">
        <v>47</v>
      </c>
      <c r="R4" s="48">
        <v>1</v>
      </c>
      <c r="S4" s="68">
        <v>1</v>
      </c>
      <c r="T4" s="25" t="s">
        <v>48</v>
      </c>
      <c r="U4" s="69" t="s">
        <v>138</v>
      </c>
      <c r="V4" s="25" t="s">
        <v>50</v>
      </c>
      <c r="W4" s="274" t="s">
        <v>180</v>
      </c>
      <c r="X4" s="275"/>
      <c r="Y4" s="275"/>
      <c r="Z4" s="448"/>
    </row>
    <row r="5" ht="48" customHeight="1" spans="2:26">
      <c r="B5" s="25" t="s">
        <v>52</v>
      </c>
      <c r="C5" s="49">
        <v>2</v>
      </c>
      <c r="D5" s="70">
        <v>0</v>
      </c>
      <c r="E5" s="25" t="s">
        <v>55</v>
      </c>
      <c r="F5" s="69" t="s">
        <v>69</v>
      </c>
      <c r="G5" s="25" t="s">
        <v>52</v>
      </c>
      <c r="H5" s="49">
        <v>2</v>
      </c>
      <c r="I5" s="70">
        <v>0</v>
      </c>
      <c r="J5" s="25" t="s">
        <v>55</v>
      </c>
      <c r="K5" s="69" t="s">
        <v>175</v>
      </c>
      <c r="L5" s="25" t="s">
        <v>52</v>
      </c>
      <c r="M5" s="49">
        <v>3</v>
      </c>
      <c r="N5" s="70">
        <v>0</v>
      </c>
      <c r="O5" s="25" t="s">
        <v>55</v>
      </c>
      <c r="P5" s="69" t="s">
        <v>181</v>
      </c>
      <c r="Q5" s="25" t="s">
        <v>52</v>
      </c>
      <c r="R5" s="49">
        <v>6</v>
      </c>
      <c r="S5" s="70">
        <v>1</v>
      </c>
      <c r="T5" s="25" t="s">
        <v>55</v>
      </c>
      <c r="U5" s="69" t="s">
        <v>138</v>
      </c>
      <c r="V5" s="27" t="s">
        <v>56</v>
      </c>
      <c r="W5" s="446" t="s">
        <v>182</v>
      </c>
      <c r="X5" s="118"/>
      <c r="Y5" s="118"/>
      <c r="Z5" s="131"/>
    </row>
    <row r="6" ht="70" customHeight="1" spans="2:26">
      <c r="B6" s="99" t="s">
        <v>58</v>
      </c>
      <c r="C6" s="252" t="s">
        <v>183</v>
      </c>
      <c r="D6" s="438"/>
      <c r="E6" s="438"/>
      <c r="F6" s="438"/>
      <c r="G6" s="33" t="s">
        <v>58</v>
      </c>
      <c r="H6" s="98" t="s">
        <v>184</v>
      </c>
      <c r="I6" s="108"/>
      <c r="J6" s="108"/>
      <c r="K6" s="108"/>
      <c r="L6" s="33" t="s">
        <v>58</v>
      </c>
      <c r="M6" s="157" t="s">
        <v>185</v>
      </c>
      <c r="N6" s="157"/>
      <c r="O6" s="157"/>
      <c r="P6" s="157"/>
      <c r="Q6" s="99" t="s">
        <v>58</v>
      </c>
      <c r="R6" s="235" t="s">
        <v>186</v>
      </c>
      <c r="S6" s="109"/>
      <c r="T6" s="109"/>
      <c r="U6" s="109"/>
      <c r="V6" s="33"/>
      <c r="W6" s="119"/>
      <c r="X6" s="120"/>
      <c r="Y6" s="120"/>
      <c r="Z6" s="132"/>
    </row>
    <row r="7" ht="15" customHeight="1" spans="2:26">
      <c r="B7" s="20" t="s">
        <v>187</v>
      </c>
      <c r="C7" s="20"/>
      <c r="D7" s="20"/>
      <c r="E7" s="20"/>
      <c r="F7" s="20"/>
      <c r="G7" s="45" t="s">
        <v>188</v>
      </c>
      <c r="H7" s="45"/>
      <c r="I7" s="45"/>
      <c r="J7" s="45"/>
      <c r="K7" s="45"/>
      <c r="L7" s="20" t="s">
        <v>189</v>
      </c>
      <c r="M7" s="20"/>
      <c r="N7" s="20"/>
      <c r="O7" s="20"/>
      <c r="P7" s="20"/>
      <c r="Q7" s="45" t="s">
        <v>190</v>
      </c>
      <c r="R7" s="45"/>
      <c r="S7" s="45"/>
      <c r="T7" s="45"/>
      <c r="U7" s="45"/>
      <c r="V7" s="20" t="s">
        <v>67</v>
      </c>
      <c r="W7" s="20"/>
      <c r="X7" s="20"/>
      <c r="Y7" s="20"/>
      <c r="Z7" s="129"/>
    </row>
    <row r="8" ht="48" customHeight="1" spans="2:26">
      <c r="B8" s="25" t="s">
        <v>47</v>
      </c>
      <c r="C8" s="48">
        <v>1</v>
      </c>
      <c r="D8" s="68">
        <v>1</v>
      </c>
      <c r="E8" s="25" t="s">
        <v>48</v>
      </c>
      <c r="F8" s="69" t="s">
        <v>191</v>
      </c>
      <c r="G8" s="25" t="s">
        <v>47</v>
      </c>
      <c r="H8" s="48">
        <v>0</v>
      </c>
      <c r="I8" s="68">
        <v>1</v>
      </c>
      <c r="J8" s="25" t="s">
        <v>48</v>
      </c>
      <c r="K8" s="69" t="s">
        <v>49</v>
      </c>
      <c r="L8" s="25" t="s">
        <v>47</v>
      </c>
      <c r="M8" s="48">
        <v>1</v>
      </c>
      <c r="N8" s="68">
        <v>0</v>
      </c>
      <c r="O8" s="25" t="s">
        <v>48</v>
      </c>
      <c r="P8" s="69" t="s">
        <v>179</v>
      </c>
      <c r="Q8" s="25" t="s">
        <v>47</v>
      </c>
      <c r="R8" s="48">
        <v>1</v>
      </c>
      <c r="S8" s="68">
        <v>1</v>
      </c>
      <c r="T8" s="25" t="s">
        <v>48</v>
      </c>
      <c r="U8" s="69" t="s">
        <v>138</v>
      </c>
      <c r="V8" s="25" t="s">
        <v>50</v>
      </c>
      <c r="W8" s="115" t="s">
        <v>192</v>
      </c>
      <c r="X8" s="116"/>
      <c r="Y8" s="116"/>
      <c r="Z8" s="246"/>
    </row>
    <row r="9" ht="48" customHeight="1" spans="2:26">
      <c r="B9" s="25" t="s">
        <v>52</v>
      </c>
      <c r="C9" s="49">
        <v>3</v>
      </c>
      <c r="D9" s="70">
        <v>0</v>
      </c>
      <c r="E9" s="25" t="s">
        <v>55</v>
      </c>
      <c r="F9" s="69" t="s">
        <v>193</v>
      </c>
      <c r="G9" s="25" t="s">
        <v>52</v>
      </c>
      <c r="H9" s="49">
        <v>3</v>
      </c>
      <c r="I9" s="70">
        <v>0</v>
      </c>
      <c r="J9" s="25" t="s">
        <v>55</v>
      </c>
      <c r="K9" s="69" t="s">
        <v>54</v>
      </c>
      <c r="L9" s="25" t="s">
        <v>52</v>
      </c>
      <c r="M9" s="49">
        <v>3</v>
      </c>
      <c r="N9" s="70">
        <v>0</v>
      </c>
      <c r="O9" s="25" t="s">
        <v>55</v>
      </c>
      <c r="P9" s="69" t="s">
        <v>194</v>
      </c>
      <c r="Q9" s="25" t="s">
        <v>52</v>
      </c>
      <c r="R9" s="49">
        <v>5</v>
      </c>
      <c r="S9" s="70">
        <v>1</v>
      </c>
      <c r="T9" s="25" t="s">
        <v>55</v>
      </c>
      <c r="U9" s="69" t="s">
        <v>138</v>
      </c>
      <c r="V9" s="27" t="s">
        <v>56</v>
      </c>
      <c r="W9" s="250" t="s">
        <v>195</v>
      </c>
      <c r="X9" s="118"/>
      <c r="Y9" s="118"/>
      <c r="Z9" s="131"/>
    </row>
    <row r="10" ht="70" customHeight="1" spans="2:26">
      <c r="B10" s="33" t="s">
        <v>58</v>
      </c>
      <c r="C10" s="385" t="s">
        <v>196</v>
      </c>
      <c r="D10" s="439"/>
      <c r="E10" s="439"/>
      <c r="F10" s="439"/>
      <c r="G10" s="99" t="s">
        <v>58</v>
      </c>
      <c r="H10" s="440" t="s">
        <v>197</v>
      </c>
      <c r="I10" s="445"/>
      <c r="J10" s="445"/>
      <c r="K10" s="445"/>
      <c r="L10" s="33" t="s">
        <v>58</v>
      </c>
      <c r="M10" s="157" t="s">
        <v>198</v>
      </c>
      <c r="N10" s="157"/>
      <c r="O10" s="157"/>
      <c r="P10" s="157"/>
      <c r="Q10" s="54" t="s">
        <v>58</v>
      </c>
      <c r="R10" s="166" t="s">
        <v>199</v>
      </c>
      <c r="S10" s="105"/>
      <c r="T10" s="105"/>
      <c r="U10" s="105"/>
      <c r="V10" s="33"/>
      <c r="W10" s="119"/>
      <c r="X10" s="120"/>
      <c r="Y10" s="120"/>
      <c r="Z10" s="132"/>
    </row>
    <row r="11" ht="15" customHeight="1" spans="2:31">
      <c r="B11" s="20" t="s">
        <v>200</v>
      </c>
      <c r="C11" s="20"/>
      <c r="D11" s="20"/>
      <c r="E11" s="20"/>
      <c r="F11" s="20"/>
      <c r="G11" s="20" t="s">
        <v>201</v>
      </c>
      <c r="H11" s="20"/>
      <c r="I11" s="20"/>
      <c r="J11" s="20"/>
      <c r="K11" s="20"/>
      <c r="L11" s="35" t="s">
        <v>202</v>
      </c>
      <c r="M11" s="35"/>
      <c r="N11" s="35"/>
      <c r="O11" s="35"/>
      <c r="P11" s="35"/>
      <c r="Q11" s="45" t="s">
        <v>203</v>
      </c>
      <c r="R11" s="45"/>
      <c r="S11" s="45"/>
      <c r="T11" s="45"/>
      <c r="U11" s="45"/>
      <c r="V11" s="20" t="s">
        <v>79</v>
      </c>
      <c r="W11" s="20"/>
      <c r="X11" s="20"/>
      <c r="Y11" s="20"/>
      <c r="Z11" s="129"/>
      <c r="AA11" s="35" t="s">
        <v>204</v>
      </c>
      <c r="AB11" s="35"/>
      <c r="AC11" s="35"/>
      <c r="AD11" s="35"/>
      <c r="AE11" s="35"/>
    </row>
    <row r="12" ht="48" customHeight="1" spans="2:31">
      <c r="B12" s="25" t="s">
        <v>47</v>
      </c>
      <c r="C12" s="48">
        <v>0</v>
      </c>
      <c r="D12" s="68">
        <v>0</v>
      </c>
      <c r="E12" s="25" t="s">
        <v>48</v>
      </c>
      <c r="F12" s="69" t="s">
        <v>179</v>
      </c>
      <c r="G12" s="25" t="s">
        <v>47</v>
      </c>
      <c r="H12" s="48">
        <v>0</v>
      </c>
      <c r="I12" s="68">
        <v>0</v>
      </c>
      <c r="J12" s="25" t="s">
        <v>48</v>
      </c>
      <c r="K12" s="69" t="s">
        <v>49</v>
      </c>
      <c r="L12" s="25" t="s">
        <v>47</v>
      </c>
      <c r="M12" s="48">
        <v>1</v>
      </c>
      <c r="N12" s="68">
        <v>0</v>
      </c>
      <c r="O12" s="25" t="s">
        <v>48</v>
      </c>
      <c r="P12" s="69" t="s">
        <v>82</v>
      </c>
      <c r="Q12" s="25" t="s">
        <v>47</v>
      </c>
      <c r="R12" s="48">
        <v>1</v>
      </c>
      <c r="S12" s="68">
        <v>1</v>
      </c>
      <c r="T12" s="25" t="s">
        <v>48</v>
      </c>
      <c r="U12" s="69" t="s">
        <v>123</v>
      </c>
      <c r="V12" s="25" t="s">
        <v>50</v>
      </c>
      <c r="W12" s="121" t="s">
        <v>205</v>
      </c>
      <c r="X12" s="122"/>
      <c r="Y12" s="122"/>
      <c r="Z12" s="130"/>
      <c r="AA12" s="25" t="s">
        <v>47</v>
      </c>
      <c r="AB12" s="48">
        <v>1</v>
      </c>
      <c r="AC12" s="68">
        <v>1</v>
      </c>
      <c r="AD12" s="25" t="s">
        <v>48</v>
      </c>
      <c r="AE12" s="69" t="s">
        <v>138</v>
      </c>
    </row>
    <row r="13" ht="48" customHeight="1" spans="2:31">
      <c r="B13" s="25" t="s">
        <v>52</v>
      </c>
      <c r="C13" s="49">
        <v>0</v>
      </c>
      <c r="D13" s="70">
        <v>0</v>
      </c>
      <c r="E13" s="25" t="s">
        <v>55</v>
      </c>
      <c r="F13" s="69" t="s">
        <v>206</v>
      </c>
      <c r="G13" s="25" t="s">
        <v>52</v>
      </c>
      <c r="H13" s="49">
        <v>3</v>
      </c>
      <c r="I13" s="70">
        <v>0</v>
      </c>
      <c r="J13" s="25" t="s">
        <v>53</v>
      </c>
      <c r="K13" s="69" t="s">
        <v>54</v>
      </c>
      <c r="L13" s="25" t="s">
        <v>52</v>
      </c>
      <c r="M13" s="49">
        <v>6</v>
      </c>
      <c r="N13" s="70">
        <v>0</v>
      </c>
      <c r="O13" s="25" t="s">
        <v>55</v>
      </c>
      <c r="P13" s="69" t="s">
        <v>54</v>
      </c>
      <c r="Q13" s="25" t="s">
        <v>52</v>
      </c>
      <c r="R13" s="49">
        <v>3</v>
      </c>
      <c r="S13" s="70">
        <v>1</v>
      </c>
      <c r="T13" s="25" t="s">
        <v>55</v>
      </c>
      <c r="U13" s="69" t="s">
        <v>126</v>
      </c>
      <c r="V13" s="27" t="s">
        <v>56</v>
      </c>
      <c r="W13" s="123" t="s">
        <v>207</v>
      </c>
      <c r="X13" s="159"/>
      <c r="Y13" s="159"/>
      <c r="Z13" s="170"/>
      <c r="AA13" s="25" t="s">
        <v>52</v>
      </c>
      <c r="AB13" s="49">
        <v>7</v>
      </c>
      <c r="AC13" s="70">
        <v>1</v>
      </c>
      <c r="AD13" s="25" t="s">
        <v>55</v>
      </c>
      <c r="AE13" s="69" t="str">
        <f>_xlfn.DISPIMG("ID_B3A491DE7E8941C6A0241DBE0FC44504",1)</f>
        <v>=DISPIMG("ID_B3A491DE7E8941C6A0241DBE0FC44504",1)</v>
      </c>
    </row>
    <row r="14" ht="70" customHeight="1" spans="2:31">
      <c r="B14" s="33" t="s">
        <v>58</v>
      </c>
      <c r="C14" s="139" t="s">
        <v>208</v>
      </c>
      <c r="D14" s="97"/>
      <c r="E14" s="97"/>
      <c r="F14" s="97"/>
      <c r="G14" s="33" t="s">
        <v>58</v>
      </c>
      <c r="H14" s="126" t="s">
        <v>209</v>
      </c>
      <c r="I14" s="108"/>
      <c r="J14" s="108"/>
      <c r="K14" s="108"/>
      <c r="L14" s="33" t="s">
        <v>58</v>
      </c>
      <c r="M14" s="103" t="s">
        <v>210</v>
      </c>
      <c r="N14" s="103"/>
      <c r="O14" s="103"/>
      <c r="P14" s="103"/>
      <c r="Q14" s="99" t="s">
        <v>58</v>
      </c>
      <c r="R14" s="143" t="s">
        <v>211</v>
      </c>
      <c r="S14" s="144"/>
      <c r="T14" s="144"/>
      <c r="U14" s="144"/>
      <c r="V14" s="33"/>
      <c r="W14" s="160"/>
      <c r="X14" s="161"/>
      <c r="Y14" s="161"/>
      <c r="Z14" s="171"/>
      <c r="AA14" s="33" t="s">
        <v>58</v>
      </c>
      <c r="AB14" s="225" t="s">
        <v>212</v>
      </c>
      <c r="AC14" s="103"/>
      <c r="AD14" s="103"/>
      <c r="AE14" s="103"/>
    </row>
    <row r="15" ht="15" customHeight="1" spans="2:26">
      <c r="B15" s="322" t="s">
        <v>213</v>
      </c>
      <c r="C15" s="45"/>
      <c r="D15" s="45"/>
      <c r="E15" s="45"/>
      <c r="F15" s="45"/>
      <c r="G15" s="322" t="s">
        <v>214</v>
      </c>
      <c r="H15" s="45"/>
      <c r="I15" s="45"/>
      <c r="J15" s="45"/>
      <c r="K15" s="45"/>
      <c r="L15" s="322" t="s">
        <v>215</v>
      </c>
      <c r="M15" s="45"/>
      <c r="N15" s="45"/>
      <c r="O15" s="45"/>
      <c r="P15" s="45"/>
      <c r="Q15" s="35" t="s">
        <v>216</v>
      </c>
      <c r="R15" s="35"/>
      <c r="S15" s="35"/>
      <c r="T15" s="35"/>
      <c r="U15" s="35"/>
      <c r="V15" s="322" t="s">
        <v>94</v>
      </c>
      <c r="W15" s="45"/>
      <c r="X15" s="45"/>
      <c r="Y15" s="45"/>
      <c r="Z15" s="133"/>
    </row>
    <row r="16" ht="48" customHeight="1" spans="2:26">
      <c r="B16" s="25" t="s">
        <v>47</v>
      </c>
      <c r="C16" s="48">
        <v>1</v>
      </c>
      <c r="D16" s="68">
        <v>0</v>
      </c>
      <c r="E16" s="25" t="s">
        <v>48</v>
      </c>
      <c r="F16" s="69" t="s">
        <v>82</v>
      </c>
      <c r="G16" s="25" t="s">
        <v>47</v>
      </c>
      <c r="H16" s="48">
        <v>1</v>
      </c>
      <c r="I16" s="68">
        <v>0</v>
      </c>
      <c r="J16" s="25" t="s">
        <v>48</v>
      </c>
      <c r="K16" s="69" t="s">
        <v>123</v>
      </c>
      <c r="L16" s="25" t="s">
        <v>47</v>
      </c>
      <c r="M16" s="48">
        <v>0</v>
      </c>
      <c r="N16" s="68">
        <v>1</v>
      </c>
      <c r="O16" s="25" t="s">
        <v>48</v>
      </c>
      <c r="P16" s="69" t="s">
        <v>49</v>
      </c>
      <c r="Q16" s="25" t="s">
        <v>47</v>
      </c>
      <c r="R16" s="48">
        <v>1</v>
      </c>
      <c r="S16" s="68">
        <v>1</v>
      </c>
      <c r="T16" s="25" t="s">
        <v>48</v>
      </c>
      <c r="U16" s="69" t="s">
        <v>179</v>
      </c>
      <c r="V16" s="25" t="s">
        <v>50</v>
      </c>
      <c r="W16" s="121" t="s">
        <v>217</v>
      </c>
      <c r="X16" s="122"/>
      <c r="Y16" s="122"/>
      <c r="Z16" s="130"/>
    </row>
    <row r="17" ht="48" customHeight="1" spans="2:26">
      <c r="B17" s="25" t="s">
        <v>52</v>
      </c>
      <c r="C17" s="49">
        <v>5</v>
      </c>
      <c r="D17" s="441">
        <v>0</v>
      </c>
      <c r="E17" s="25" t="s">
        <v>55</v>
      </c>
      <c r="F17" s="69" t="s">
        <v>218</v>
      </c>
      <c r="G17" s="25" t="s">
        <v>52</v>
      </c>
      <c r="H17" s="49">
        <v>2</v>
      </c>
      <c r="I17" s="70">
        <v>1</v>
      </c>
      <c r="J17" s="25" t="s">
        <v>55</v>
      </c>
      <c r="K17" s="69" t="s">
        <v>84</v>
      </c>
      <c r="L17" s="25" t="s">
        <v>52</v>
      </c>
      <c r="M17" s="49">
        <v>3</v>
      </c>
      <c r="N17" s="70">
        <v>0</v>
      </c>
      <c r="O17" s="25" t="s">
        <v>55</v>
      </c>
      <c r="P17" s="69" t="s">
        <v>54</v>
      </c>
      <c r="Q17" s="25" t="s">
        <v>52</v>
      </c>
      <c r="R17" s="49">
        <v>5</v>
      </c>
      <c r="S17" s="70">
        <v>1</v>
      </c>
      <c r="T17" s="25" t="s">
        <v>55</v>
      </c>
      <c r="U17" s="69" t="s">
        <v>219</v>
      </c>
      <c r="V17" s="27" t="s">
        <v>56</v>
      </c>
      <c r="W17" s="123" t="s">
        <v>220</v>
      </c>
      <c r="X17" s="159"/>
      <c r="Y17" s="159"/>
      <c r="Z17" s="170"/>
    </row>
    <row r="18" ht="70" customHeight="1" spans="2:26">
      <c r="B18" s="54" t="s">
        <v>58</v>
      </c>
      <c r="C18" s="442" t="s">
        <v>221</v>
      </c>
      <c r="D18" s="443"/>
      <c r="E18" s="443"/>
      <c r="F18" s="443"/>
      <c r="G18" s="54" t="s">
        <v>58</v>
      </c>
      <c r="H18" s="444" t="s">
        <v>222</v>
      </c>
      <c r="I18" s="444"/>
      <c r="J18" s="444"/>
      <c r="K18" s="444"/>
      <c r="L18" s="54" t="s">
        <v>58</v>
      </c>
      <c r="M18" s="151" t="s">
        <v>223</v>
      </c>
      <c r="N18" s="443"/>
      <c r="O18" s="443"/>
      <c r="P18" s="443"/>
      <c r="Q18" s="33" t="s">
        <v>58</v>
      </c>
      <c r="R18" s="447" t="s">
        <v>224</v>
      </c>
      <c r="S18" s="447"/>
      <c r="T18" s="447"/>
      <c r="U18" s="447"/>
      <c r="V18" s="54"/>
      <c r="W18" s="160"/>
      <c r="X18" s="161"/>
      <c r="Y18" s="161"/>
      <c r="Z18" s="171"/>
    </row>
    <row r="19" spans="3:7">
      <c r="C19" s="180" t="s">
        <v>175</v>
      </c>
      <c r="D19" s="181" t="s">
        <v>104</v>
      </c>
      <c r="E19" s="181" t="s">
        <v>105</v>
      </c>
      <c r="F19" s="181"/>
      <c r="G19" s="181"/>
    </row>
    <row r="20" spans="3:7">
      <c r="C20" s="182" t="str">
        <f>_xlfn.DISPIMG("ID_708F5A04DB7D478A9F095970DBE381BC",1)</f>
        <v>=DISPIMG("ID_708F5A04DB7D478A9F095970DBE381BC",1)</v>
      </c>
      <c r="D20" s="410" t="s">
        <v>108</v>
      </c>
      <c r="E20" s="411"/>
      <c r="F20" s="411"/>
      <c r="G20" s="412"/>
    </row>
    <row r="21" spans="3:7">
      <c r="C21" s="182"/>
      <c r="D21" s="413" t="s">
        <v>110</v>
      </c>
      <c r="E21" s="414"/>
      <c r="F21" s="414"/>
      <c r="G21" s="415"/>
    </row>
    <row r="22" spans="3:7">
      <c r="C22" s="182"/>
      <c r="D22" s="413" t="s">
        <v>112</v>
      </c>
      <c r="E22" s="414"/>
      <c r="F22" s="414"/>
      <c r="G22" s="415"/>
    </row>
    <row r="23" spans="3:7">
      <c r="C23" s="265" t="s">
        <v>113</v>
      </c>
      <c r="D23" s="325" t="s">
        <v>225</v>
      </c>
      <c r="E23" s="326"/>
      <c r="F23" s="326"/>
      <c r="G23" s="327"/>
    </row>
    <row r="24" ht="45" customHeight="1" spans="3:7">
      <c r="C24" s="269"/>
      <c r="D24" s="328"/>
      <c r="E24" s="329"/>
      <c r="F24" s="329"/>
      <c r="G24" s="330"/>
    </row>
    <row r="30" spans="9:9">
      <c r="I30"/>
    </row>
    <row r="43" spans="8:8">
      <c r="H43"/>
    </row>
  </sheetData>
  <sheetProtection selectLockedCells="1" formatCells="0" formatColumns="0" formatRows="0" insertRows="0" insertColumns="0" insertHyperlinks="0" deleteColumns="0" deleteRows="0" sort="0" autoFilter="0" pivotTables="0"/>
  <mergeCells count="62">
    <mergeCell ref="B1:F1"/>
    <mergeCell ref="G1:K1"/>
    <mergeCell ref="L1:P1"/>
    <mergeCell ref="Q1:U1"/>
    <mergeCell ref="V1:Z1"/>
    <mergeCell ref="B3:F3"/>
    <mergeCell ref="G3:K3"/>
    <mergeCell ref="L3:P3"/>
    <mergeCell ref="Q3:U3"/>
    <mergeCell ref="V3:Z3"/>
    <mergeCell ref="W4:Z4"/>
    <mergeCell ref="C6:F6"/>
    <mergeCell ref="H6:K6"/>
    <mergeCell ref="M6:P6"/>
    <mergeCell ref="R6:U6"/>
    <mergeCell ref="B7:F7"/>
    <mergeCell ref="G7:K7"/>
    <mergeCell ref="L7:P7"/>
    <mergeCell ref="Q7:U7"/>
    <mergeCell ref="V7:Z7"/>
    <mergeCell ref="W8:Z8"/>
    <mergeCell ref="C10:F10"/>
    <mergeCell ref="H10:K10"/>
    <mergeCell ref="M10:P10"/>
    <mergeCell ref="R10:U10"/>
    <mergeCell ref="B11:F11"/>
    <mergeCell ref="G11:K11"/>
    <mergeCell ref="L11:P11"/>
    <mergeCell ref="Q11:U11"/>
    <mergeCell ref="V11:Z11"/>
    <mergeCell ref="AA11:AE11"/>
    <mergeCell ref="W12:Z12"/>
    <mergeCell ref="C14:F14"/>
    <mergeCell ref="H14:K14"/>
    <mergeCell ref="M14:P14"/>
    <mergeCell ref="R14:U14"/>
    <mergeCell ref="AB14:AE14"/>
    <mergeCell ref="B15:F15"/>
    <mergeCell ref="G15:K15"/>
    <mergeCell ref="L15:P15"/>
    <mergeCell ref="Q15:U15"/>
    <mergeCell ref="V15:Z15"/>
    <mergeCell ref="W16:Z16"/>
    <mergeCell ref="C18:F18"/>
    <mergeCell ref="H18:K18"/>
    <mergeCell ref="M18:P18"/>
    <mergeCell ref="R18:U18"/>
    <mergeCell ref="E19:G19"/>
    <mergeCell ref="D20:G20"/>
    <mergeCell ref="D21:G21"/>
    <mergeCell ref="D22:G22"/>
    <mergeCell ref="C20:C22"/>
    <mergeCell ref="C23:C24"/>
    <mergeCell ref="V5:V6"/>
    <mergeCell ref="V9:V10"/>
    <mergeCell ref="V13:V14"/>
    <mergeCell ref="V17:V18"/>
    <mergeCell ref="W5:Z6"/>
    <mergeCell ref="W13:Z14"/>
    <mergeCell ref="W9:Z10"/>
    <mergeCell ref="D23:G24"/>
    <mergeCell ref="W17:Z18"/>
  </mergeCells>
  <conditionalFormatting sqref="C4">
    <cfRule type="cellIs" dxfId="0" priority="97" operator="equal">
      <formula>0</formula>
    </cfRule>
  </conditionalFormatting>
  <conditionalFormatting sqref="D4">
    <cfRule type="cellIs" dxfId="0" priority="98" operator="equal">
      <formula>0</formula>
    </cfRule>
  </conditionalFormatting>
  <conditionalFormatting sqref="H4">
    <cfRule type="cellIs" dxfId="0" priority="13" operator="equal">
      <formula>0</formula>
    </cfRule>
  </conditionalFormatting>
  <conditionalFormatting sqref="I4">
    <cfRule type="cellIs" dxfId="0" priority="14" operator="equal">
      <formula>0</formula>
    </cfRule>
  </conditionalFormatting>
  <conditionalFormatting sqref="M4">
    <cfRule type="cellIs" dxfId="0" priority="25" operator="equal">
      <formula>0</formula>
    </cfRule>
  </conditionalFormatting>
  <conditionalFormatting sqref="N4">
    <cfRule type="cellIs" dxfId="0" priority="26" operator="equal">
      <formula>0</formula>
    </cfRule>
  </conditionalFormatting>
  <conditionalFormatting sqref="R4">
    <cfRule type="cellIs" dxfId="0" priority="88" operator="equal">
      <formula>0</formula>
    </cfRule>
  </conditionalFormatting>
  <conditionalFormatting sqref="S4">
    <cfRule type="cellIs" dxfId="0" priority="89" operator="equal">
      <formula>0</formula>
    </cfRule>
  </conditionalFormatting>
  <conditionalFormatting sqref="C8">
    <cfRule type="cellIs" dxfId="0" priority="10" operator="equal">
      <formula>0</formula>
    </cfRule>
  </conditionalFormatting>
  <conditionalFormatting sqref="D8">
    <cfRule type="cellIs" dxfId="0" priority="11" operator="equal">
      <formula>0</formula>
    </cfRule>
  </conditionalFormatting>
  <conditionalFormatting sqref="H8">
    <cfRule type="cellIs" dxfId="0" priority="4" operator="equal">
      <formula>0</formula>
    </cfRule>
  </conditionalFormatting>
  <conditionalFormatting sqref="I8">
    <cfRule type="cellIs" dxfId="0" priority="5" operator="equal">
      <formula>0</formula>
    </cfRule>
  </conditionalFormatting>
  <conditionalFormatting sqref="M8">
    <cfRule type="cellIs" dxfId="0" priority="19" operator="equal">
      <formula>0</formula>
    </cfRule>
  </conditionalFormatting>
  <conditionalFormatting sqref="N8">
    <cfRule type="cellIs" dxfId="0" priority="20" operator="equal">
      <formula>0</formula>
    </cfRule>
  </conditionalFormatting>
  <conditionalFormatting sqref="R8">
    <cfRule type="cellIs" dxfId="0" priority="61" operator="equal">
      <formula>0</formula>
    </cfRule>
  </conditionalFormatting>
  <conditionalFormatting sqref="S8">
    <cfRule type="cellIs" dxfId="0" priority="62" operator="equal">
      <formula>0</formula>
    </cfRule>
  </conditionalFormatting>
  <conditionalFormatting sqref="C12">
    <cfRule type="cellIs" dxfId="0" priority="46" operator="equal">
      <formula>0</formula>
    </cfRule>
  </conditionalFormatting>
  <conditionalFormatting sqref="D12">
    <cfRule type="cellIs" dxfId="0" priority="47" operator="equal">
      <formula>0</formula>
    </cfRule>
  </conditionalFormatting>
  <conditionalFormatting sqref="H12">
    <cfRule type="cellIs" dxfId="0" priority="7" operator="equal">
      <formula>0</formula>
    </cfRule>
  </conditionalFormatting>
  <conditionalFormatting sqref="I12">
    <cfRule type="cellIs" dxfId="0" priority="8" operator="equal">
      <formula>0</formula>
    </cfRule>
  </conditionalFormatting>
  <conditionalFormatting sqref="M12">
    <cfRule type="cellIs" dxfId="0" priority="22" operator="equal">
      <formula>0</formula>
    </cfRule>
  </conditionalFormatting>
  <conditionalFormatting sqref="N12">
    <cfRule type="cellIs" dxfId="0" priority="23" operator="equal">
      <formula>0</formula>
    </cfRule>
  </conditionalFormatting>
  <conditionalFormatting sqref="AB12">
    <cfRule type="cellIs" dxfId="0" priority="1" operator="equal">
      <formula>0</formula>
    </cfRule>
  </conditionalFormatting>
  <conditionalFormatting sqref="AC12">
    <cfRule type="cellIs" dxfId="0" priority="2" operator="equal">
      <formula>0</formula>
    </cfRule>
  </conditionalFormatting>
  <conditionalFormatting sqref="R16">
    <cfRule type="cellIs" dxfId="0" priority="103" operator="equal">
      <formula>0</formula>
    </cfRule>
  </conditionalFormatting>
  <conditionalFormatting sqref="S16">
    <cfRule type="cellIs" dxfId="0" priority="104" operator="equal">
      <formula>0</formula>
    </cfRule>
  </conditionalFormatting>
  <conditionalFormatting sqref="C4:D5">
    <cfRule type="cellIs" dxfId="1" priority="99" operator="equal">
      <formula>0</formula>
    </cfRule>
  </conditionalFormatting>
  <conditionalFormatting sqref="H4:I5">
    <cfRule type="cellIs" dxfId="1" priority="15" operator="equal">
      <formula>0</formula>
    </cfRule>
  </conditionalFormatting>
  <conditionalFormatting sqref="M4:N5">
    <cfRule type="cellIs" dxfId="1" priority="27" operator="equal">
      <formula>0</formula>
    </cfRule>
  </conditionalFormatting>
  <conditionalFormatting sqref="R4:S5">
    <cfRule type="cellIs" dxfId="1" priority="90" operator="equal">
      <formula>0</formula>
    </cfRule>
  </conditionalFormatting>
  <conditionalFormatting sqref="C8:D9">
    <cfRule type="cellIs" dxfId="1" priority="12" operator="equal">
      <formula>0</formula>
    </cfRule>
  </conditionalFormatting>
  <conditionalFormatting sqref="H8:I9">
    <cfRule type="cellIs" dxfId="1" priority="6" operator="equal">
      <formula>0</formula>
    </cfRule>
  </conditionalFormatting>
  <conditionalFormatting sqref="M8:N9">
    <cfRule type="cellIs" dxfId="1" priority="21" operator="equal">
      <formula>0</formula>
    </cfRule>
  </conditionalFormatting>
  <conditionalFormatting sqref="R8:S9">
    <cfRule type="cellIs" dxfId="1" priority="63" operator="equal">
      <formula>0</formula>
    </cfRule>
  </conditionalFormatting>
  <conditionalFormatting sqref="C12:D13">
    <cfRule type="cellIs" dxfId="1" priority="48" operator="equal">
      <formula>0</formula>
    </cfRule>
  </conditionalFormatting>
  <conditionalFormatting sqref="M16 H16 C16 R12">
    <cfRule type="cellIs" dxfId="0" priority="115" operator="equal">
      <formula>0</formula>
    </cfRule>
  </conditionalFormatting>
  <conditionalFormatting sqref="D16 I16 N16 S12">
    <cfRule type="cellIs" dxfId="0" priority="116" operator="equal">
      <formula>0</formula>
    </cfRule>
  </conditionalFormatting>
  <conditionalFormatting sqref="H12:I13">
    <cfRule type="cellIs" dxfId="1" priority="9" operator="equal">
      <formula>0</formula>
    </cfRule>
  </conditionalFormatting>
  <conditionalFormatting sqref="M12:N13">
    <cfRule type="cellIs" dxfId="1" priority="24" operator="equal">
      <formula>0</formula>
    </cfRule>
  </conditionalFormatting>
  <conditionalFormatting sqref="R12:S13">
    <cfRule type="cellIs" dxfId="1" priority="117" operator="equal">
      <formula>0</formula>
    </cfRule>
  </conditionalFormatting>
  <conditionalFormatting sqref="AB12:AC13">
    <cfRule type="cellIs" dxfId="1" priority="3" operator="equal">
      <formula>0</formula>
    </cfRule>
  </conditionalFormatting>
  <conditionalFormatting sqref="M16:N17 H16:I17 C16:D17">
    <cfRule type="cellIs" dxfId="1" priority="119" operator="equal">
      <formula>0</formula>
    </cfRule>
  </conditionalFormatting>
  <conditionalFormatting sqref="R16:S17">
    <cfRule type="cellIs" dxfId="1" priority="105" operator="equal">
      <formula>0</formula>
    </cfRule>
  </conditionalFormatting>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5"/>
  </sheetPr>
  <dimension ref="B1:AE47"/>
  <sheetViews>
    <sheetView showGridLines="0" zoomScale="70" zoomScaleNormal="70" workbookViewId="0">
      <selection activeCell="AD2" sqref="AD2"/>
    </sheetView>
  </sheetViews>
  <sheetFormatPr defaultColWidth="8.89090909090909" defaultRowHeight="16.5"/>
  <cols>
    <col min="1" max="1" width="8.89090909090909" style="11"/>
    <col min="2" max="2" width="5.78181818181818" style="11" customWidth="1"/>
    <col min="3" max="4" width="8.78181818181818" style="11" customWidth="1"/>
    <col min="5" max="5" width="5.78181818181818" style="11" customWidth="1"/>
    <col min="6" max="6" width="14.7818181818182" style="11" customWidth="1"/>
    <col min="7" max="7" width="5.78181818181818" style="11" customWidth="1"/>
    <col min="8" max="9" width="8.78181818181818" style="11" customWidth="1"/>
    <col min="10" max="10" width="5.78181818181818" style="11" customWidth="1"/>
    <col min="11" max="11" width="14.7818181818182" style="11" customWidth="1"/>
    <col min="12" max="12" width="5.78181818181818" style="11" customWidth="1"/>
    <col min="13" max="14" width="8.78181818181818" style="11" customWidth="1"/>
    <col min="15" max="15" width="5.78181818181818" style="11" customWidth="1"/>
    <col min="16" max="16" width="14.7818181818182" style="11" customWidth="1"/>
    <col min="17" max="17" width="5.78181818181818" style="11" customWidth="1"/>
    <col min="18" max="19" width="8.78181818181818" style="11" customWidth="1"/>
    <col min="20" max="20" width="5.78181818181818" style="11" customWidth="1"/>
    <col min="21" max="21" width="14.7818181818182" style="11" customWidth="1"/>
    <col min="22" max="22" width="5.70909090909091" style="11" customWidth="1"/>
    <col min="23" max="26" width="8.89090909090909" style="11"/>
    <col min="27" max="27" width="6.00909090909091" style="11" customWidth="1"/>
    <col min="28" max="16384" width="8.89090909090909" style="11"/>
  </cols>
  <sheetData>
    <row r="1" ht="61" customHeight="1" spans="2:26">
      <c r="B1" s="92" t="s">
        <v>226</v>
      </c>
      <c r="C1" s="93"/>
      <c r="D1" s="93"/>
      <c r="E1" s="93"/>
      <c r="F1" s="93"/>
      <c r="G1" s="94" t="s">
        <v>227</v>
      </c>
      <c r="H1" s="95"/>
      <c r="I1" s="95"/>
      <c r="J1" s="95"/>
      <c r="K1" s="95"/>
      <c r="L1" s="106"/>
      <c r="M1" s="16"/>
      <c r="N1" s="16"/>
      <c r="O1" s="16"/>
      <c r="P1" s="16"/>
      <c r="Q1" s="106"/>
      <c r="R1" s="16"/>
      <c r="S1" s="16"/>
      <c r="T1" s="16"/>
      <c r="U1" s="16"/>
      <c r="W1" s="364" t="s">
        <v>228</v>
      </c>
      <c r="X1" s="364"/>
      <c r="Y1" s="364"/>
      <c r="Z1" s="364"/>
    </row>
    <row r="2" ht="12" customHeight="1" spans="2:21">
      <c r="B2" s="96"/>
      <c r="C2" s="18"/>
      <c r="D2" s="18"/>
      <c r="E2" s="18"/>
      <c r="F2" s="18"/>
      <c r="G2" s="96"/>
      <c r="H2" s="18"/>
      <c r="I2" s="18"/>
      <c r="J2" s="18"/>
      <c r="K2" s="18"/>
      <c r="L2" s="96"/>
      <c r="M2" s="18"/>
      <c r="N2" s="18"/>
      <c r="O2" s="18"/>
      <c r="P2" s="18"/>
      <c r="Q2" s="96"/>
      <c r="R2" s="18"/>
      <c r="S2" s="18"/>
      <c r="T2" s="18"/>
      <c r="U2" s="18"/>
    </row>
    <row r="3" ht="15" customHeight="1" spans="2:26">
      <c r="B3" s="45" t="s">
        <v>229</v>
      </c>
      <c r="C3" s="45"/>
      <c r="D3" s="45"/>
      <c r="E3" s="45"/>
      <c r="F3" s="45"/>
      <c r="G3" s="45" t="s">
        <v>230</v>
      </c>
      <c r="H3" s="45"/>
      <c r="I3" s="45"/>
      <c r="J3" s="45"/>
      <c r="K3" s="45"/>
      <c r="L3" s="20" t="s">
        <v>231</v>
      </c>
      <c r="M3" s="20"/>
      <c r="N3" s="20"/>
      <c r="O3" s="20"/>
      <c r="P3" s="20"/>
      <c r="Q3" s="20" t="s">
        <v>232</v>
      </c>
      <c r="R3" s="20"/>
      <c r="S3" s="20"/>
      <c r="T3" s="20"/>
      <c r="U3" s="128"/>
      <c r="V3" s="420" t="s">
        <v>46</v>
      </c>
      <c r="W3" s="421"/>
      <c r="X3" s="421"/>
      <c r="Y3" s="421"/>
      <c r="Z3" s="431"/>
    </row>
    <row r="4" ht="48" customHeight="1" spans="2:26">
      <c r="B4" s="25" t="s">
        <v>47</v>
      </c>
      <c r="C4" s="48">
        <v>1</v>
      </c>
      <c r="D4" s="68">
        <v>0</v>
      </c>
      <c r="E4" s="25" t="s">
        <v>48</v>
      </c>
      <c r="F4" s="69" t="s">
        <v>49</v>
      </c>
      <c r="G4" s="25" t="s">
        <v>47</v>
      </c>
      <c r="H4" s="48">
        <v>1</v>
      </c>
      <c r="I4" s="68">
        <v>0</v>
      </c>
      <c r="J4" s="25" t="s">
        <v>48</v>
      </c>
      <c r="K4" s="69" t="s">
        <v>49</v>
      </c>
      <c r="L4" s="25" t="s">
        <v>47</v>
      </c>
      <c r="M4" s="48">
        <v>0</v>
      </c>
      <c r="N4" s="68">
        <v>0</v>
      </c>
      <c r="O4" s="25" t="s">
        <v>48</v>
      </c>
      <c r="P4" s="69" t="s">
        <v>138</v>
      </c>
      <c r="Q4" s="25" t="s">
        <v>47</v>
      </c>
      <c r="R4" s="48">
        <v>1</v>
      </c>
      <c r="S4" s="68">
        <v>0</v>
      </c>
      <c r="T4" s="25" t="s">
        <v>48</v>
      </c>
      <c r="U4" s="422" t="s">
        <v>49</v>
      </c>
      <c r="V4" s="423" t="s">
        <v>50</v>
      </c>
      <c r="W4" s="424" t="s">
        <v>233</v>
      </c>
      <c r="X4" s="424"/>
      <c r="Y4" s="424"/>
      <c r="Z4" s="432"/>
    </row>
    <row r="5" ht="48" customHeight="1" spans="2:26">
      <c r="B5" s="25" t="s">
        <v>52</v>
      </c>
      <c r="C5" s="49">
        <v>3</v>
      </c>
      <c r="D5" s="70">
        <v>0</v>
      </c>
      <c r="E5" s="25" t="s">
        <v>55</v>
      </c>
      <c r="F5" s="69" t="s">
        <v>54</v>
      </c>
      <c r="G5" s="25" t="s">
        <v>52</v>
      </c>
      <c r="H5" s="49">
        <v>1</v>
      </c>
      <c r="I5" s="70">
        <v>0</v>
      </c>
      <c r="J5" s="25" t="s">
        <v>55</v>
      </c>
      <c r="K5" s="69" t="str">
        <f>_xlfn.DISPIMG("ID_4DA85EF7DBBC423494A691E5A7349D9A",1)</f>
        <v>=DISPIMG("ID_4DA85EF7DBBC423494A691E5A7349D9A",1)</v>
      </c>
      <c r="L5" s="25" t="s">
        <v>52</v>
      </c>
      <c r="M5" s="49">
        <v>0</v>
      </c>
      <c r="N5" s="70">
        <v>0</v>
      </c>
      <c r="O5" s="25" t="s">
        <v>55</v>
      </c>
      <c r="P5" s="69" t="s">
        <v>138</v>
      </c>
      <c r="Q5" s="25" t="s">
        <v>52</v>
      </c>
      <c r="R5" s="49">
        <v>6</v>
      </c>
      <c r="S5" s="70">
        <v>1</v>
      </c>
      <c r="T5" s="25" t="s">
        <v>55</v>
      </c>
      <c r="U5" s="422" t="s">
        <v>54</v>
      </c>
      <c r="V5" s="423" t="s">
        <v>56</v>
      </c>
      <c r="W5" s="425" t="s">
        <v>234</v>
      </c>
      <c r="X5" s="425"/>
      <c r="Y5" s="425"/>
      <c r="Z5" s="433"/>
    </row>
    <row r="6" ht="70" customHeight="1" spans="2:26">
      <c r="B6" s="99" t="s">
        <v>58</v>
      </c>
      <c r="C6" s="100" t="s">
        <v>235</v>
      </c>
      <c r="D6" s="235"/>
      <c r="E6" s="235"/>
      <c r="F6" s="235"/>
      <c r="G6" s="99" t="s">
        <v>58</v>
      </c>
      <c r="H6" s="100" t="s">
        <v>236</v>
      </c>
      <c r="I6" s="235"/>
      <c r="J6" s="235"/>
      <c r="K6" s="235"/>
      <c r="L6" s="33" t="s">
        <v>58</v>
      </c>
      <c r="M6" s="416" t="s">
        <v>237</v>
      </c>
      <c r="N6" s="241"/>
      <c r="O6" s="241"/>
      <c r="P6" s="241"/>
      <c r="Q6" s="33" t="s">
        <v>58</v>
      </c>
      <c r="R6" s="103" t="s">
        <v>238</v>
      </c>
      <c r="S6" s="97"/>
      <c r="T6" s="97"/>
      <c r="U6" s="426"/>
      <c r="V6" s="427"/>
      <c r="W6" s="428"/>
      <c r="X6" s="428"/>
      <c r="Y6" s="428"/>
      <c r="Z6" s="434"/>
    </row>
    <row r="7" ht="15" customHeight="1" spans="2:26">
      <c r="B7" s="45" t="s">
        <v>239</v>
      </c>
      <c r="C7" s="45"/>
      <c r="D7" s="45"/>
      <c r="E7" s="45"/>
      <c r="F7" s="45"/>
      <c r="G7" s="20" t="s">
        <v>240</v>
      </c>
      <c r="H7" s="20"/>
      <c r="I7" s="20"/>
      <c r="J7" s="20"/>
      <c r="K7" s="20"/>
      <c r="L7" s="45" t="s">
        <v>241</v>
      </c>
      <c r="M7" s="45"/>
      <c r="N7" s="45"/>
      <c r="O7" s="45"/>
      <c r="P7" s="45"/>
      <c r="Q7" s="45" t="s">
        <v>242</v>
      </c>
      <c r="R7" s="45"/>
      <c r="S7" s="45"/>
      <c r="T7" s="45"/>
      <c r="U7" s="45"/>
      <c r="V7" s="45" t="s">
        <v>67</v>
      </c>
      <c r="W7" s="45"/>
      <c r="X7" s="45"/>
      <c r="Y7" s="45"/>
      <c r="Z7" s="133"/>
    </row>
    <row r="8" ht="48" customHeight="1" spans="2:26">
      <c r="B8" s="25" t="s">
        <v>47</v>
      </c>
      <c r="C8" s="48">
        <v>1</v>
      </c>
      <c r="D8" s="68">
        <v>0</v>
      </c>
      <c r="E8" s="25" t="s">
        <v>48</v>
      </c>
      <c r="F8" s="69" t="s">
        <v>49</v>
      </c>
      <c r="G8" s="25" t="s">
        <v>47</v>
      </c>
      <c r="H8" s="48">
        <v>1</v>
      </c>
      <c r="I8" s="68">
        <v>0</v>
      </c>
      <c r="J8" s="25" t="s">
        <v>48</v>
      </c>
      <c r="K8" s="69" t="str">
        <f>_xlfn.DISPIMG("ID_AC6EBA99344C43179B94640CF550E68D",1)</f>
        <v>=DISPIMG("ID_AC6EBA99344C43179B94640CF550E68D",1)</v>
      </c>
      <c r="L8" s="25" t="s">
        <v>47</v>
      </c>
      <c r="M8" s="48">
        <v>1</v>
      </c>
      <c r="N8" s="68">
        <v>0</v>
      </c>
      <c r="O8" s="25" t="s">
        <v>48</v>
      </c>
      <c r="P8" s="69" t="s">
        <v>161</v>
      </c>
      <c r="Q8" s="25" t="s">
        <v>47</v>
      </c>
      <c r="R8" s="48">
        <v>1</v>
      </c>
      <c r="S8" s="68">
        <v>1</v>
      </c>
      <c r="T8" s="25" t="s">
        <v>48</v>
      </c>
      <c r="U8" s="69" t="str">
        <f>_xlfn.DISPIMG("ID_EAE70A7B83884CF885EC1EE078CC6FDB",1)</f>
        <v>=DISPIMG("ID_EAE70A7B83884CF885EC1EE078CC6FDB",1)</v>
      </c>
      <c r="V8" s="25" t="s">
        <v>50</v>
      </c>
      <c r="W8" s="162" t="s">
        <v>243</v>
      </c>
      <c r="X8" s="163"/>
      <c r="Y8" s="163"/>
      <c r="Z8" s="172"/>
    </row>
    <row r="9" ht="48" customHeight="1" spans="2:26">
      <c r="B9" s="25" t="s">
        <v>52</v>
      </c>
      <c r="C9" s="49">
        <v>5</v>
      </c>
      <c r="D9" s="70">
        <v>0</v>
      </c>
      <c r="E9" s="25" t="s">
        <v>55</v>
      </c>
      <c r="F9" s="69" t="str">
        <f>_xlfn.DISPIMG("ID_B3A491DE7E8941C6A0241DBE0FC44504",1)</f>
        <v>=DISPIMG("ID_B3A491DE7E8941C6A0241DBE0FC44504",1)</v>
      </c>
      <c r="G9" s="25" t="s">
        <v>52</v>
      </c>
      <c r="H9" s="49">
        <v>7</v>
      </c>
      <c r="I9" s="70">
        <v>0</v>
      </c>
      <c r="J9" s="25" t="s">
        <v>55</v>
      </c>
      <c r="K9" s="69" t="s">
        <v>244</v>
      </c>
      <c r="L9" s="25" t="s">
        <v>52</v>
      </c>
      <c r="M9" s="49">
        <v>6</v>
      </c>
      <c r="N9" s="70">
        <v>0</v>
      </c>
      <c r="O9" s="25" t="s">
        <v>55</v>
      </c>
      <c r="P9" s="69" t="str">
        <f>_xlfn.DISPIMG("ID_4D09369D8C254A39AC008E51A5813136",1)</f>
        <v>=DISPIMG("ID_4D09369D8C254A39AC008E51A5813136",1)</v>
      </c>
      <c r="Q9" s="25" t="s">
        <v>52</v>
      </c>
      <c r="R9" s="49">
        <v>2</v>
      </c>
      <c r="S9" s="70">
        <v>1</v>
      </c>
      <c r="T9" s="25" t="s">
        <v>55</v>
      </c>
      <c r="U9" s="69" t="s">
        <v>126</v>
      </c>
      <c r="V9" s="27" t="s">
        <v>56</v>
      </c>
      <c r="W9" s="164" t="s">
        <v>245</v>
      </c>
      <c r="X9" s="240"/>
      <c r="Y9" s="240"/>
      <c r="Z9" s="435"/>
    </row>
    <row r="10" ht="70" customHeight="1" spans="2:26">
      <c r="B10" s="99" t="s">
        <v>58</v>
      </c>
      <c r="C10" s="100" t="s">
        <v>246</v>
      </c>
      <c r="D10" s="100"/>
      <c r="E10" s="100"/>
      <c r="F10" s="100"/>
      <c r="G10" s="33" t="s">
        <v>58</v>
      </c>
      <c r="H10" s="156" t="s">
        <v>247</v>
      </c>
      <c r="I10" s="139"/>
      <c r="J10" s="139"/>
      <c r="K10" s="139"/>
      <c r="L10" s="99" t="s">
        <v>58</v>
      </c>
      <c r="M10" s="417" t="s">
        <v>248</v>
      </c>
      <c r="N10" s="279"/>
      <c r="O10" s="279"/>
      <c r="P10" s="279"/>
      <c r="Q10" s="99" t="s">
        <v>58</v>
      </c>
      <c r="R10" s="100" t="s">
        <v>249</v>
      </c>
      <c r="S10" s="101"/>
      <c r="T10" s="101"/>
      <c r="U10" s="101"/>
      <c r="V10" s="33"/>
      <c r="W10" s="242"/>
      <c r="X10" s="243"/>
      <c r="Y10" s="243"/>
      <c r="Z10" s="436"/>
    </row>
    <row r="11" ht="15" customHeight="1" spans="2:26">
      <c r="B11" s="35" t="s">
        <v>250</v>
      </c>
      <c r="C11" s="35"/>
      <c r="D11" s="35"/>
      <c r="E11" s="35"/>
      <c r="F11" s="35"/>
      <c r="G11" s="45" t="s">
        <v>251</v>
      </c>
      <c r="H11" s="45"/>
      <c r="I11" s="45"/>
      <c r="J11" s="45"/>
      <c r="K11" s="45"/>
      <c r="L11" s="35" t="s">
        <v>252</v>
      </c>
      <c r="M11" s="35"/>
      <c r="N11" s="35"/>
      <c r="O11" s="35"/>
      <c r="P11" s="35"/>
      <c r="Q11" s="35" t="s">
        <v>253</v>
      </c>
      <c r="R11" s="35"/>
      <c r="S11" s="35"/>
      <c r="T11" s="35"/>
      <c r="U11" s="35"/>
      <c r="V11" s="20" t="s">
        <v>79</v>
      </c>
      <c r="W11" s="20"/>
      <c r="X11" s="20"/>
      <c r="Y11" s="20"/>
      <c r="Z11" s="129"/>
    </row>
    <row r="12" ht="48" customHeight="1" spans="2:26">
      <c r="B12" s="25" t="s">
        <v>47</v>
      </c>
      <c r="C12" s="224">
        <v>1</v>
      </c>
      <c r="D12" s="68">
        <v>0</v>
      </c>
      <c r="E12" s="25" t="s">
        <v>48</v>
      </c>
      <c r="F12" s="69" t="str">
        <f>_xlfn.DISPIMG("ID_73550FB06D014938AA281F0CF418BA23",1)</f>
        <v>=DISPIMG("ID_73550FB06D014938AA281F0CF418BA23",1)</v>
      </c>
      <c r="G12" s="25" t="s">
        <v>47</v>
      </c>
      <c r="H12" s="48">
        <v>1</v>
      </c>
      <c r="I12" s="68">
        <v>1</v>
      </c>
      <c r="J12" s="25" t="s">
        <v>48</v>
      </c>
      <c r="K12" s="69" t="str">
        <f>_xlfn.DISPIMG("ID_36D81C8AA6A1432D9D46CFAF43F6D505",1)</f>
        <v>=DISPIMG("ID_36D81C8AA6A1432D9D46CFAF43F6D505",1)</v>
      </c>
      <c r="L12" s="25" t="s">
        <v>47</v>
      </c>
      <c r="M12" s="48">
        <v>0</v>
      </c>
      <c r="N12" s="68">
        <v>1</v>
      </c>
      <c r="O12" s="25" t="s">
        <v>48</v>
      </c>
      <c r="P12" s="69" t="str">
        <f>_xlfn.DISPIMG("ID_4DA85EF7DBBC423494A691E5A7349D9A",1)</f>
        <v>=DISPIMG("ID_4DA85EF7DBBC423494A691E5A7349D9A",1)</v>
      </c>
      <c r="Q12" s="25" t="s">
        <v>47</v>
      </c>
      <c r="R12" s="224">
        <v>1</v>
      </c>
      <c r="S12" s="68">
        <v>0</v>
      </c>
      <c r="T12" s="25" t="s">
        <v>48</v>
      </c>
      <c r="U12" s="69" t="str">
        <f>_xlfn.DISPIMG("ID_BFFED469CEEA4E5693156E4AB12B41C6",1)</f>
        <v>=DISPIMG("ID_BFFED469CEEA4E5693156E4AB12B41C6",1)</v>
      </c>
      <c r="V12" s="25" t="s">
        <v>50</v>
      </c>
      <c r="W12" s="121" t="s">
        <v>254</v>
      </c>
      <c r="X12" s="163"/>
      <c r="Y12" s="163"/>
      <c r="Z12" s="172"/>
    </row>
    <row r="13" ht="48" customHeight="1" spans="2:26">
      <c r="B13" s="25" t="s">
        <v>52</v>
      </c>
      <c r="C13" s="49">
        <v>8</v>
      </c>
      <c r="D13" s="70">
        <v>0</v>
      </c>
      <c r="E13" s="25" t="s">
        <v>55</v>
      </c>
      <c r="F13" s="69" t="s">
        <v>54</v>
      </c>
      <c r="G13" s="25" t="s">
        <v>52</v>
      </c>
      <c r="H13" s="49">
        <v>12</v>
      </c>
      <c r="I13" s="70">
        <v>1</v>
      </c>
      <c r="J13" s="25" t="s">
        <v>55</v>
      </c>
      <c r="K13" s="69" t="s">
        <v>84</v>
      </c>
      <c r="L13" s="25" t="s">
        <v>52</v>
      </c>
      <c r="M13" s="49">
        <v>7</v>
      </c>
      <c r="N13" s="70">
        <v>0</v>
      </c>
      <c r="O13" s="25" t="s">
        <v>55</v>
      </c>
      <c r="P13" s="69" t="s">
        <v>255</v>
      </c>
      <c r="Q13" s="25" t="s">
        <v>52</v>
      </c>
      <c r="R13" s="49">
        <v>8</v>
      </c>
      <c r="S13" s="70">
        <v>0</v>
      </c>
      <c r="T13" s="25" t="s">
        <v>55</v>
      </c>
      <c r="U13" s="69" t="s">
        <v>54</v>
      </c>
      <c r="V13" s="27" t="s">
        <v>56</v>
      </c>
      <c r="W13" s="123" t="s">
        <v>256</v>
      </c>
      <c r="X13" s="159"/>
      <c r="Y13" s="159"/>
      <c r="Z13" s="170"/>
    </row>
    <row r="14" ht="70" customHeight="1" spans="2:26">
      <c r="B14" s="33" t="s">
        <v>58</v>
      </c>
      <c r="C14" s="156" t="s">
        <v>257</v>
      </c>
      <c r="D14" s="104"/>
      <c r="E14" s="104"/>
      <c r="F14" s="104"/>
      <c r="G14" s="54" t="s">
        <v>58</v>
      </c>
      <c r="H14" s="409" t="s">
        <v>258</v>
      </c>
      <c r="I14" s="295"/>
      <c r="J14" s="295"/>
      <c r="K14" s="295"/>
      <c r="L14" s="33" t="s">
        <v>58</v>
      </c>
      <c r="M14" s="418" t="s">
        <v>259</v>
      </c>
      <c r="N14" s="208"/>
      <c r="O14" s="208"/>
      <c r="P14" s="208"/>
      <c r="Q14" s="33" t="s">
        <v>58</v>
      </c>
      <c r="R14" s="156" t="s">
        <v>260</v>
      </c>
      <c r="S14" s="104"/>
      <c r="T14" s="104"/>
      <c r="U14" s="104"/>
      <c r="V14" s="33"/>
      <c r="W14" s="160"/>
      <c r="X14" s="161"/>
      <c r="Y14" s="161"/>
      <c r="Z14" s="171"/>
    </row>
    <row r="15" ht="15" customHeight="1" spans="2:31">
      <c r="B15" s="45" t="s">
        <v>261</v>
      </c>
      <c r="C15" s="45"/>
      <c r="D15" s="45"/>
      <c r="E15" s="45"/>
      <c r="F15" s="45"/>
      <c r="G15" s="45" t="s">
        <v>262</v>
      </c>
      <c r="H15" s="45"/>
      <c r="I15" s="45"/>
      <c r="J15" s="45"/>
      <c r="K15" s="45"/>
      <c r="L15" s="45" t="s">
        <v>263</v>
      </c>
      <c r="M15" s="45"/>
      <c r="N15" s="45"/>
      <c r="O15" s="45"/>
      <c r="P15" s="45"/>
      <c r="Q15" s="45" t="s">
        <v>264</v>
      </c>
      <c r="R15" s="45"/>
      <c r="S15" s="45"/>
      <c r="T15" s="45"/>
      <c r="U15" s="133"/>
      <c r="V15" s="20" t="s">
        <v>94</v>
      </c>
      <c r="W15" s="20"/>
      <c r="X15" s="20"/>
      <c r="Y15" s="20"/>
      <c r="Z15" s="129"/>
      <c r="AA15" s="45" t="s">
        <v>265</v>
      </c>
      <c r="AB15" s="45"/>
      <c r="AC15" s="45"/>
      <c r="AD15" s="45"/>
      <c r="AE15" s="45"/>
    </row>
    <row r="16" ht="48" customHeight="1" spans="2:31">
      <c r="B16" s="25" t="s">
        <v>47</v>
      </c>
      <c r="C16" s="48">
        <v>0</v>
      </c>
      <c r="D16" s="68">
        <v>0</v>
      </c>
      <c r="E16" s="25" t="s">
        <v>48</v>
      </c>
      <c r="F16" s="69" t="s">
        <v>138</v>
      </c>
      <c r="G16" s="25" t="s">
        <v>47</v>
      </c>
      <c r="H16" s="48">
        <v>1</v>
      </c>
      <c r="I16" s="68">
        <v>1</v>
      </c>
      <c r="J16" s="25" t="s">
        <v>48</v>
      </c>
      <c r="K16" s="69" t="s">
        <v>179</v>
      </c>
      <c r="L16" s="25" t="s">
        <v>47</v>
      </c>
      <c r="M16" s="48">
        <v>1</v>
      </c>
      <c r="N16" s="68">
        <v>1</v>
      </c>
      <c r="O16" s="25" t="s">
        <v>48</v>
      </c>
      <c r="P16" s="69" t="str">
        <f>_xlfn.DISPIMG("ID_086579A3AB35453491C9C26B7DB57C3A",1)</f>
        <v>=DISPIMG("ID_086579A3AB35453491C9C26B7DB57C3A",1)</v>
      </c>
      <c r="Q16" s="25" t="s">
        <v>47</v>
      </c>
      <c r="R16" s="224">
        <v>1</v>
      </c>
      <c r="S16" s="68">
        <v>0</v>
      </c>
      <c r="T16" s="25" t="s">
        <v>48</v>
      </c>
      <c r="U16" s="69" t="s">
        <v>123</v>
      </c>
      <c r="V16" s="25" t="s">
        <v>50</v>
      </c>
      <c r="W16" s="115" t="s">
        <v>266</v>
      </c>
      <c r="X16" s="116"/>
      <c r="Y16" s="116"/>
      <c r="Z16" s="246"/>
      <c r="AA16" s="25" t="s">
        <v>47</v>
      </c>
      <c r="AB16" s="48">
        <v>1</v>
      </c>
      <c r="AC16" s="68">
        <v>1</v>
      </c>
      <c r="AD16" s="25" t="s">
        <v>48</v>
      </c>
      <c r="AE16" s="69" t="s">
        <v>267</v>
      </c>
    </row>
    <row r="17" ht="48" customHeight="1" spans="2:31">
      <c r="B17" s="25" t="s">
        <v>52</v>
      </c>
      <c r="C17" s="49">
        <v>0</v>
      </c>
      <c r="D17" s="70">
        <v>2</v>
      </c>
      <c r="E17" s="25" t="s">
        <v>55</v>
      </c>
      <c r="F17" s="69" t="s">
        <v>138</v>
      </c>
      <c r="G17" s="25" t="s">
        <v>52</v>
      </c>
      <c r="H17" s="49">
        <v>12</v>
      </c>
      <c r="I17" s="70">
        <v>2</v>
      </c>
      <c r="J17" s="25" t="s">
        <v>55</v>
      </c>
      <c r="K17" s="69" t="str">
        <f>_xlfn.DISPIMG("ID_4D09369D8C254A39AC008E51A5813136",1)</f>
        <v>=DISPIMG("ID_4D09369D8C254A39AC008E51A5813136",1)</v>
      </c>
      <c r="L17" s="25" t="s">
        <v>52</v>
      </c>
      <c r="M17" s="49">
        <v>6</v>
      </c>
      <c r="N17" s="70">
        <v>1</v>
      </c>
      <c r="O17" s="25" t="s">
        <v>55</v>
      </c>
      <c r="P17" s="69" t="str">
        <f>_xlfn.DISPIMG("ID_4DA85EF7DBBC423494A691E5A7349D9A",1)</f>
        <v>=DISPIMG("ID_4DA85EF7DBBC423494A691E5A7349D9A",1)</v>
      </c>
      <c r="Q17" s="25" t="s">
        <v>52</v>
      </c>
      <c r="R17" s="49">
        <v>9</v>
      </c>
      <c r="S17" s="70">
        <v>2</v>
      </c>
      <c r="T17" s="25" t="s">
        <v>55</v>
      </c>
      <c r="U17" s="134" t="s">
        <v>268</v>
      </c>
      <c r="V17" s="27" t="s">
        <v>56</v>
      </c>
      <c r="W17" s="429" t="s">
        <v>269</v>
      </c>
      <c r="X17" s="211"/>
      <c r="Y17" s="211"/>
      <c r="Z17" s="227"/>
      <c r="AA17" s="25" t="s">
        <v>52</v>
      </c>
      <c r="AB17" s="49">
        <v>12</v>
      </c>
      <c r="AC17" s="70">
        <v>3</v>
      </c>
      <c r="AD17" s="25" t="s">
        <v>55</v>
      </c>
      <c r="AE17" s="69" t="s">
        <v>270</v>
      </c>
    </row>
    <row r="18" ht="70" customHeight="1" spans="2:31">
      <c r="B18" s="54" t="s">
        <v>58</v>
      </c>
      <c r="C18" s="178" t="s">
        <v>271</v>
      </c>
      <c r="D18" s="178"/>
      <c r="E18" s="178"/>
      <c r="F18" s="178"/>
      <c r="G18" s="54" t="s">
        <v>58</v>
      </c>
      <c r="H18" s="158" t="s">
        <v>272</v>
      </c>
      <c r="I18" s="158"/>
      <c r="J18" s="158"/>
      <c r="K18" s="158"/>
      <c r="L18" s="54" t="s">
        <v>58</v>
      </c>
      <c r="M18" s="419" t="s">
        <v>273</v>
      </c>
      <c r="N18" s="239"/>
      <c r="O18" s="239"/>
      <c r="P18" s="239"/>
      <c r="Q18" s="54" t="s">
        <v>58</v>
      </c>
      <c r="R18" s="158" t="s">
        <v>274</v>
      </c>
      <c r="S18" s="158"/>
      <c r="T18" s="158"/>
      <c r="U18" s="430"/>
      <c r="V18" s="33"/>
      <c r="W18" s="212"/>
      <c r="X18" s="213"/>
      <c r="Y18" s="213"/>
      <c r="Z18" s="228"/>
      <c r="AA18" s="54" t="s">
        <v>58</v>
      </c>
      <c r="AB18" s="409" t="s">
        <v>275</v>
      </c>
      <c r="AC18" s="437"/>
      <c r="AD18" s="437"/>
      <c r="AE18" s="437"/>
    </row>
    <row r="19" spans="3:7">
      <c r="C19" s="180" t="s">
        <v>276</v>
      </c>
      <c r="D19" s="181" t="s">
        <v>104</v>
      </c>
      <c r="E19" s="181" t="s">
        <v>106</v>
      </c>
      <c r="F19" s="181"/>
      <c r="G19" s="181"/>
    </row>
    <row r="20" spans="3:7">
      <c r="C20" s="182"/>
      <c r="D20" s="410" t="s">
        <v>107</v>
      </c>
      <c r="E20" s="411"/>
      <c r="F20" s="411"/>
      <c r="G20" s="412"/>
    </row>
    <row r="21" spans="3:7">
      <c r="C21" s="182"/>
      <c r="D21" s="413" t="s">
        <v>277</v>
      </c>
      <c r="E21" s="414"/>
      <c r="F21" s="414"/>
      <c r="G21" s="415"/>
    </row>
    <row r="22" spans="3:7">
      <c r="C22" s="182"/>
      <c r="D22" s="413" t="s">
        <v>278</v>
      </c>
      <c r="E22" s="414"/>
      <c r="F22" s="414"/>
      <c r="G22" s="415"/>
    </row>
    <row r="23" spans="3:7">
      <c r="C23" s="265" t="s">
        <v>113</v>
      </c>
      <c r="D23" s="325" t="s">
        <v>279</v>
      </c>
      <c r="E23" s="326"/>
      <c r="F23" s="326"/>
      <c r="G23" s="327"/>
    </row>
    <row r="24" ht="66" customHeight="1" spans="3:18">
      <c r="C24" s="269"/>
      <c r="D24" s="328"/>
      <c r="E24" s="329"/>
      <c r="F24" s="329"/>
      <c r="G24" s="330"/>
      <c r="R24"/>
    </row>
    <row r="26" spans="15:15">
      <c r="O26"/>
    </row>
    <row r="47" spans="8:8">
      <c r="H47"/>
    </row>
  </sheetData>
  <sheetProtection selectLockedCells="1" formatCells="0" formatColumns="0" formatRows="0" insertRows="0" insertColumns="0" insertHyperlinks="0" deleteColumns="0" deleteRows="0" sort="0" autoFilter="0" pivotTables="0"/>
  <mergeCells count="62">
    <mergeCell ref="B1:F1"/>
    <mergeCell ref="G1:K1"/>
    <mergeCell ref="L1:P1"/>
    <mergeCell ref="Q1:U1"/>
    <mergeCell ref="W1:Z1"/>
    <mergeCell ref="B3:F3"/>
    <mergeCell ref="G3:K3"/>
    <mergeCell ref="L3:P3"/>
    <mergeCell ref="Q3:U3"/>
    <mergeCell ref="V3:Z3"/>
    <mergeCell ref="W4:Z4"/>
    <mergeCell ref="C6:F6"/>
    <mergeCell ref="H6:K6"/>
    <mergeCell ref="M6:P6"/>
    <mergeCell ref="R6:U6"/>
    <mergeCell ref="B7:F7"/>
    <mergeCell ref="G7:K7"/>
    <mergeCell ref="L7:P7"/>
    <mergeCell ref="Q7:U7"/>
    <mergeCell ref="V7:Z7"/>
    <mergeCell ref="W8:Z8"/>
    <mergeCell ref="C10:F10"/>
    <mergeCell ref="H10:K10"/>
    <mergeCell ref="M10:P10"/>
    <mergeCell ref="R10:U10"/>
    <mergeCell ref="B11:F11"/>
    <mergeCell ref="G11:K11"/>
    <mergeCell ref="L11:P11"/>
    <mergeCell ref="Q11:U11"/>
    <mergeCell ref="V11:Z11"/>
    <mergeCell ref="W12:Z12"/>
    <mergeCell ref="C14:F14"/>
    <mergeCell ref="H14:K14"/>
    <mergeCell ref="M14:P14"/>
    <mergeCell ref="R14:U14"/>
    <mergeCell ref="B15:F15"/>
    <mergeCell ref="G15:K15"/>
    <mergeCell ref="L15:P15"/>
    <mergeCell ref="Q15:U15"/>
    <mergeCell ref="V15:Z15"/>
    <mergeCell ref="AA15:AE15"/>
    <mergeCell ref="W16:Z16"/>
    <mergeCell ref="C18:F18"/>
    <mergeCell ref="H18:K18"/>
    <mergeCell ref="M18:P18"/>
    <mergeCell ref="R18:U18"/>
    <mergeCell ref="AB18:AE18"/>
    <mergeCell ref="E19:G19"/>
    <mergeCell ref="D20:G20"/>
    <mergeCell ref="D21:G21"/>
    <mergeCell ref="D22:G22"/>
    <mergeCell ref="C20:C22"/>
    <mergeCell ref="C23:C24"/>
    <mergeCell ref="V5:V6"/>
    <mergeCell ref="V9:V10"/>
    <mergeCell ref="V13:V14"/>
    <mergeCell ref="V17:V18"/>
    <mergeCell ref="W5:Z6"/>
    <mergeCell ref="W13:Z14"/>
    <mergeCell ref="D23:G24"/>
    <mergeCell ref="W17:Z18"/>
    <mergeCell ref="W9:Z10"/>
  </mergeCells>
  <conditionalFormatting sqref="C4">
    <cfRule type="cellIs" dxfId="0" priority="13" operator="equal">
      <formula>0</formula>
    </cfRule>
  </conditionalFormatting>
  <conditionalFormatting sqref="D4">
    <cfRule type="cellIs" dxfId="0" priority="14" operator="equal">
      <formula>0</formula>
    </cfRule>
  </conditionalFormatting>
  <conditionalFormatting sqref="H4">
    <cfRule type="cellIs" dxfId="0" priority="16" operator="equal">
      <formula>0</formula>
    </cfRule>
  </conditionalFormatting>
  <conditionalFormatting sqref="I4">
    <cfRule type="cellIs" dxfId="0" priority="17" operator="equal">
      <formula>0</formula>
    </cfRule>
  </conditionalFormatting>
  <conditionalFormatting sqref="H8">
    <cfRule type="cellIs" dxfId="0" priority="25" operator="equal">
      <formula>0</formula>
    </cfRule>
  </conditionalFormatting>
  <conditionalFormatting sqref="I8">
    <cfRule type="cellIs" dxfId="0" priority="26" operator="equal">
      <formula>0</formula>
    </cfRule>
  </conditionalFormatting>
  <conditionalFormatting sqref="H12">
    <cfRule type="cellIs" dxfId="0" priority="22" operator="equal">
      <formula>0</formula>
    </cfRule>
  </conditionalFormatting>
  <conditionalFormatting sqref="I12">
    <cfRule type="cellIs" dxfId="0" priority="23" operator="equal">
      <formula>0</formula>
    </cfRule>
  </conditionalFormatting>
  <conditionalFormatting sqref="R12">
    <cfRule type="cellIs" dxfId="0" priority="7" operator="equal">
      <formula>0</formula>
    </cfRule>
  </conditionalFormatting>
  <conditionalFormatting sqref="S12">
    <cfRule type="cellIs" dxfId="0" priority="8" operator="equal">
      <formula>0</formula>
    </cfRule>
  </conditionalFormatting>
  <conditionalFormatting sqref="H16">
    <cfRule type="cellIs" dxfId="0" priority="19" operator="equal">
      <formula>0</formula>
    </cfRule>
  </conditionalFormatting>
  <conditionalFormatting sqref="I16">
    <cfRule type="cellIs" dxfId="0" priority="20" operator="equal">
      <formula>0</formula>
    </cfRule>
  </conditionalFormatting>
  <conditionalFormatting sqref="R16">
    <cfRule type="cellIs" dxfId="0" priority="4" operator="equal">
      <formula>0</formula>
    </cfRule>
  </conditionalFormatting>
  <conditionalFormatting sqref="S16">
    <cfRule type="cellIs" dxfId="0" priority="5" operator="equal">
      <formula>0</formula>
    </cfRule>
  </conditionalFormatting>
  <conditionalFormatting sqref="AB16">
    <cfRule type="cellIs" dxfId="0" priority="1" operator="equal">
      <formula>0</formula>
    </cfRule>
  </conditionalFormatting>
  <conditionalFormatting sqref="AC16">
    <cfRule type="cellIs" dxfId="0" priority="2" operator="equal">
      <formula>0</formula>
    </cfRule>
  </conditionalFormatting>
  <conditionalFormatting sqref="M16:N17 C16:D17 M12:N13 C12:D13 M8:N9 M4:N5 C8:D9">
    <cfRule type="cellIs" dxfId="1" priority="41" operator="equal">
      <formula>0</formula>
    </cfRule>
  </conditionalFormatting>
  <conditionalFormatting sqref="C4:D5">
    <cfRule type="cellIs" dxfId="1" priority="15" operator="equal">
      <formula>0</formula>
    </cfRule>
  </conditionalFormatting>
  <conditionalFormatting sqref="M16 C16 M12 C12 C8 M8 R8 R4 M4">
    <cfRule type="cellIs" dxfId="0" priority="37" operator="equal">
      <formula>0</formula>
    </cfRule>
  </conditionalFormatting>
  <conditionalFormatting sqref="D16 N16 N12 D12 D8 N8 S8 S4 N4">
    <cfRule type="cellIs" dxfId="0" priority="38" operator="equal">
      <formula>0</formula>
    </cfRule>
  </conditionalFormatting>
  <conditionalFormatting sqref="H4:I5">
    <cfRule type="cellIs" dxfId="1" priority="18" operator="equal">
      <formula>0</formula>
    </cfRule>
  </conditionalFormatting>
  <conditionalFormatting sqref="R4:S5 R8:S9">
    <cfRule type="cellIs" dxfId="1" priority="39" operator="equal">
      <formula>0</formula>
    </cfRule>
  </conditionalFormatting>
  <conditionalFormatting sqref="H8:I9">
    <cfRule type="cellIs" dxfId="1" priority="27" operator="equal">
      <formula>0</formula>
    </cfRule>
  </conditionalFormatting>
  <conditionalFormatting sqref="H12:I13">
    <cfRule type="cellIs" dxfId="1" priority="24" operator="equal">
      <formula>0</formula>
    </cfRule>
  </conditionalFormatting>
  <conditionalFormatting sqref="R12:S13">
    <cfRule type="cellIs" dxfId="1" priority="9" operator="equal">
      <formula>0</formula>
    </cfRule>
  </conditionalFormatting>
  <conditionalFormatting sqref="H16:I17">
    <cfRule type="cellIs" dxfId="1" priority="21" operator="equal">
      <formula>0</formula>
    </cfRule>
  </conditionalFormatting>
  <conditionalFormatting sqref="R16:S17">
    <cfRule type="cellIs" dxfId="1" priority="6" operator="equal">
      <formula>0</formula>
    </cfRule>
  </conditionalFormatting>
  <conditionalFormatting sqref="AB16:AC17">
    <cfRule type="cellIs" dxfId="1" priority="3" operator="equal">
      <formula>0</formula>
    </cfRule>
  </conditionalFormatting>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B1:AE47"/>
  <sheetViews>
    <sheetView showGridLines="0" zoomScale="70" zoomScaleNormal="70" workbookViewId="0">
      <selection activeCell="AC4" sqref="AC4"/>
    </sheetView>
  </sheetViews>
  <sheetFormatPr defaultColWidth="8.89090909090909" defaultRowHeight="16.5"/>
  <cols>
    <col min="1" max="1" width="8.89090909090909" style="11"/>
    <col min="2" max="2" width="5.78181818181818" style="11" customWidth="1"/>
    <col min="3" max="4" width="8.78181818181818" style="11" customWidth="1"/>
    <col min="5" max="5" width="5.78181818181818" style="11" customWidth="1"/>
    <col min="6" max="6" width="14.7818181818182" style="11" customWidth="1"/>
    <col min="7" max="7" width="5.78181818181818" style="11" customWidth="1"/>
    <col min="8" max="9" width="8.78181818181818" style="11" customWidth="1"/>
    <col min="10" max="10" width="5.78181818181818" style="11" customWidth="1"/>
    <col min="11" max="11" width="14.7818181818182" style="11" customWidth="1"/>
    <col min="12" max="12" width="5.78181818181818" style="11" customWidth="1"/>
    <col min="13" max="14" width="8.78181818181818" style="11" customWidth="1"/>
    <col min="15" max="15" width="5.78181818181818" style="11" customWidth="1"/>
    <col min="16" max="16" width="14.7818181818182" style="11" customWidth="1"/>
    <col min="17" max="17" width="5.78181818181818" style="11" customWidth="1"/>
    <col min="18" max="19" width="8.78181818181818" style="11" customWidth="1"/>
    <col min="20" max="20" width="5.78181818181818" style="11" customWidth="1"/>
    <col min="21" max="21" width="14.7818181818182" style="11" customWidth="1"/>
    <col min="22" max="22" width="5.70909090909091" style="11" customWidth="1"/>
    <col min="23" max="26" width="8.89090909090909" style="11"/>
    <col min="27" max="27" width="5.79090909090909" style="11" customWidth="1"/>
    <col min="28" max="29" width="8.89090909090909" style="11"/>
    <col min="30" max="30" width="5.79090909090909" style="11" customWidth="1"/>
    <col min="31" max="31" width="14.7818181818182" style="11" customWidth="1"/>
    <col min="32" max="16384" width="8.89090909090909" style="11"/>
  </cols>
  <sheetData>
    <row r="1" ht="61" customHeight="1" spans="2:26">
      <c r="B1" s="92" t="s">
        <v>280</v>
      </c>
      <c r="C1" s="93"/>
      <c r="D1" s="93"/>
      <c r="E1" s="93"/>
      <c r="F1" s="93"/>
      <c r="G1" s="94" t="s">
        <v>281</v>
      </c>
      <c r="H1" s="95"/>
      <c r="I1" s="95"/>
      <c r="J1" s="95"/>
      <c r="K1" s="95"/>
      <c r="L1" s="356" t="s">
        <v>282</v>
      </c>
      <c r="M1" s="357"/>
      <c r="N1" s="357"/>
      <c r="O1" s="357"/>
      <c r="P1" s="357"/>
      <c r="Q1" s="362" t="s">
        <v>283</v>
      </c>
      <c r="R1" s="363"/>
      <c r="S1" s="363"/>
      <c r="T1" s="363"/>
      <c r="U1" s="363"/>
      <c r="V1" s="364" t="s">
        <v>228</v>
      </c>
      <c r="W1" s="364"/>
      <c r="X1" s="364"/>
      <c r="Y1" s="364"/>
      <c r="Z1" s="364"/>
    </row>
    <row r="2" ht="12" customHeight="1" spans="2:21">
      <c r="B2" s="96"/>
      <c r="C2" s="18"/>
      <c r="D2" s="18"/>
      <c r="E2" s="18"/>
      <c r="F2" s="18"/>
      <c r="G2" s="96"/>
      <c r="H2" s="18"/>
      <c r="I2" s="18"/>
      <c r="J2" s="18"/>
      <c r="K2" s="18"/>
      <c r="L2" s="96"/>
      <c r="M2" s="18"/>
      <c r="N2" s="18"/>
      <c r="O2" s="18"/>
      <c r="P2" s="18"/>
      <c r="Q2" s="96"/>
      <c r="R2" s="18"/>
      <c r="S2" s="18"/>
      <c r="T2" s="18"/>
      <c r="U2" s="18"/>
    </row>
    <row r="3" ht="15" customHeight="1" spans="2:26">
      <c r="B3" s="20" t="s">
        <v>284</v>
      </c>
      <c r="C3" s="20"/>
      <c r="D3" s="20"/>
      <c r="E3" s="20"/>
      <c r="F3" s="20"/>
      <c r="G3" s="20" t="s">
        <v>285</v>
      </c>
      <c r="H3" s="20"/>
      <c r="I3" s="20"/>
      <c r="J3" s="20"/>
      <c r="K3" s="20"/>
      <c r="L3" s="20" t="s">
        <v>286</v>
      </c>
      <c r="M3" s="20"/>
      <c r="N3" s="20"/>
      <c r="O3" s="20"/>
      <c r="P3" s="20"/>
      <c r="Q3" s="20" t="s">
        <v>287</v>
      </c>
      <c r="R3" s="20"/>
      <c r="S3" s="20"/>
      <c r="T3" s="20"/>
      <c r="U3" s="20"/>
      <c r="V3" s="20" t="s">
        <v>46</v>
      </c>
      <c r="W3" s="365"/>
      <c r="X3" s="365"/>
      <c r="Y3" s="365"/>
      <c r="Z3" s="389"/>
    </row>
    <row r="4" ht="48" customHeight="1" spans="2:26">
      <c r="B4" s="25" t="s">
        <v>47</v>
      </c>
      <c r="C4" s="48">
        <v>1</v>
      </c>
      <c r="D4" s="68">
        <v>0</v>
      </c>
      <c r="E4" s="25" t="s">
        <v>48</v>
      </c>
      <c r="F4" s="69" t="s">
        <v>49</v>
      </c>
      <c r="G4" s="25" t="s">
        <v>47</v>
      </c>
      <c r="H4" s="48">
        <v>0</v>
      </c>
      <c r="I4" s="68">
        <v>1</v>
      </c>
      <c r="J4" s="25" t="s">
        <v>48</v>
      </c>
      <c r="K4" s="69" t="s">
        <v>49</v>
      </c>
      <c r="L4" s="25" t="s">
        <v>47</v>
      </c>
      <c r="M4" s="48">
        <v>0</v>
      </c>
      <c r="N4" s="68">
        <v>0</v>
      </c>
      <c r="O4" s="25" t="s">
        <v>48</v>
      </c>
      <c r="P4" s="69" t="s">
        <v>138</v>
      </c>
      <c r="Q4" s="25" t="s">
        <v>47</v>
      </c>
      <c r="R4" s="48">
        <v>1</v>
      </c>
      <c r="S4" s="68">
        <v>0</v>
      </c>
      <c r="T4" s="25" t="s">
        <v>48</v>
      </c>
      <c r="U4" s="69" t="s">
        <v>49</v>
      </c>
      <c r="V4" s="366" t="s">
        <v>50</v>
      </c>
      <c r="W4" s="367" t="s">
        <v>288</v>
      </c>
      <c r="X4" s="368"/>
      <c r="Y4" s="368"/>
      <c r="Z4" s="390"/>
    </row>
    <row r="5" ht="48" customHeight="1" spans="2:26">
      <c r="B5" s="25" t="s">
        <v>52</v>
      </c>
      <c r="C5" s="49">
        <v>2</v>
      </c>
      <c r="D5" s="70">
        <v>0</v>
      </c>
      <c r="E5" s="25" t="s">
        <v>53</v>
      </c>
      <c r="F5" s="69" t="s">
        <v>54</v>
      </c>
      <c r="G5" s="25" t="s">
        <v>52</v>
      </c>
      <c r="H5" s="49">
        <v>2</v>
      </c>
      <c r="I5" s="70">
        <v>0</v>
      </c>
      <c r="J5" s="25" t="s">
        <v>55</v>
      </c>
      <c r="K5" s="69" t="s">
        <v>69</v>
      </c>
      <c r="L5" s="25" t="s">
        <v>52</v>
      </c>
      <c r="M5" s="49">
        <v>1</v>
      </c>
      <c r="N5" s="70">
        <v>0</v>
      </c>
      <c r="O5" s="25" t="s">
        <v>55</v>
      </c>
      <c r="P5" s="69" t="s">
        <v>138</v>
      </c>
      <c r="Q5" s="25" t="s">
        <v>52</v>
      </c>
      <c r="R5" s="49">
        <v>3</v>
      </c>
      <c r="S5" s="70">
        <v>0</v>
      </c>
      <c r="T5" s="25" t="s">
        <v>55</v>
      </c>
      <c r="U5" s="69" t="s">
        <v>69</v>
      </c>
      <c r="V5" s="369" t="s">
        <v>56</v>
      </c>
      <c r="W5" s="370" t="s">
        <v>289</v>
      </c>
      <c r="X5" s="371"/>
      <c r="Y5" s="371"/>
      <c r="Z5" s="391"/>
    </row>
    <row r="6" ht="70" customHeight="1" spans="2:26">
      <c r="B6" s="33" t="s">
        <v>58</v>
      </c>
      <c r="C6" s="349" t="s">
        <v>290</v>
      </c>
      <c r="D6" s="97"/>
      <c r="E6" s="97"/>
      <c r="F6" s="97"/>
      <c r="G6" s="33" t="s">
        <v>58</v>
      </c>
      <c r="H6" s="225" t="s">
        <v>291</v>
      </c>
      <c r="I6" s="140"/>
      <c r="J6" s="140"/>
      <c r="K6" s="140"/>
      <c r="L6" s="33" t="s">
        <v>58</v>
      </c>
      <c r="M6" s="149" t="s">
        <v>292</v>
      </c>
      <c r="N6" s="97"/>
      <c r="O6" s="97"/>
      <c r="P6" s="97"/>
      <c r="Q6" s="33" t="s">
        <v>58</v>
      </c>
      <c r="R6" s="149" t="s">
        <v>293</v>
      </c>
      <c r="S6" s="103"/>
      <c r="T6" s="103"/>
      <c r="U6" s="103"/>
      <c r="V6" s="372"/>
      <c r="W6" s="373"/>
      <c r="X6" s="374"/>
      <c r="Y6" s="374"/>
      <c r="Z6" s="392"/>
    </row>
    <row r="7" ht="15" customHeight="1" spans="2:31">
      <c r="B7" s="45" t="s">
        <v>294</v>
      </c>
      <c r="C7" s="45"/>
      <c r="D7" s="45"/>
      <c r="E7" s="45"/>
      <c r="F7" s="45"/>
      <c r="G7" s="20" t="s">
        <v>295</v>
      </c>
      <c r="H7" s="20"/>
      <c r="I7" s="20"/>
      <c r="J7" s="20"/>
      <c r="K7" s="20"/>
      <c r="L7" s="35" t="s">
        <v>296</v>
      </c>
      <c r="M7" s="35"/>
      <c r="N7" s="35"/>
      <c r="O7" s="35"/>
      <c r="P7" s="35"/>
      <c r="Q7" s="20" t="s">
        <v>297</v>
      </c>
      <c r="R7" s="20"/>
      <c r="S7" s="20"/>
      <c r="T7" s="20"/>
      <c r="U7" s="20"/>
      <c r="V7" s="20" t="s">
        <v>67</v>
      </c>
      <c r="W7" s="45"/>
      <c r="X7" s="45"/>
      <c r="Y7" s="45"/>
      <c r="Z7" s="133"/>
      <c r="AA7" s="35" t="s">
        <v>298</v>
      </c>
      <c r="AB7" s="35"/>
      <c r="AC7" s="35"/>
      <c r="AD7" s="35"/>
      <c r="AE7" s="35"/>
    </row>
    <row r="8" ht="48" customHeight="1" spans="2:31">
      <c r="B8" s="25" t="s">
        <v>47</v>
      </c>
      <c r="C8" s="48">
        <v>0</v>
      </c>
      <c r="D8" s="68">
        <v>1</v>
      </c>
      <c r="E8" s="25" t="s">
        <v>48</v>
      </c>
      <c r="F8" s="69" t="s">
        <v>138</v>
      </c>
      <c r="G8" s="25" t="s">
        <v>47</v>
      </c>
      <c r="H8" s="48">
        <v>0</v>
      </c>
      <c r="I8" s="68">
        <v>1</v>
      </c>
      <c r="J8" s="25" t="s">
        <v>48</v>
      </c>
      <c r="K8" s="69" t="s">
        <v>179</v>
      </c>
      <c r="L8" s="25" t="s">
        <v>47</v>
      </c>
      <c r="M8" s="48">
        <v>1</v>
      </c>
      <c r="N8" s="68">
        <v>0</v>
      </c>
      <c r="O8" s="25" t="s">
        <v>48</v>
      </c>
      <c r="P8" s="69" t="str">
        <f>_xlfn.DISPIMG("ID_36D81C8AA6A1432D9D46CFAF43F6D505",1)</f>
        <v>=DISPIMG("ID_36D81C8AA6A1432D9D46CFAF43F6D505",1)</v>
      </c>
      <c r="Q8" s="25" t="s">
        <v>47</v>
      </c>
      <c r="R8" s="48">
        <v>0</v>
      </c>
      <c r="S8" s="68">
        <v>0</v>
      </c>
      <c r="T8" s="25" t="s">
        <v>48</v>
      </c>
      <c r="U8" s="69" t="str">
        <f>_xlfn.DISPIMG("ID_F3AFEE223CA74EBC9DC67BEE17AE66C7",1)</f>
        <v>=DISPIMG("ID_F3AFEE223CA74EBC9DC67BEE17AE66C7",1)</v>
      </c>
      <c r="V8" s="25" t="s">
        <v>50</v>
      </c>
      <c r="W8" s="216" t="s">
        <v>299</v>
      </c>
      <c r="X8" s="217"/>
      <c r="Y8" s="217"/>
      <c r="Z8" s="229"/>
      <c r="AA8" s="25" t="s">
        <v>47</v>
      </c>
      <c r="AB8" s="48">
        <v>0</v>
      </c>
      <c r="AC8" s="68">
        <v>1</v>
      </c>
      <c r="AD8" s="25" t="s">
        <v>48</v>
      </c>
      <c r="AE8" s="69" t="s">
        <v>123</v>
      </c>
    </row>
    <row r="9" ht="48" customHeight="1" spans="2:31">
      <c r="B9" s="25" t="s">
        <v>52</v>
      </c>
      <c r="C9" s="49">
        <v>2</v>
      </c>
      <c r="D9" s="70">
        <v>0</v>
      </c>
      <c r="E9" s="25" t="s">
        <v>55</v>
      </c>
      <c r="F9" s="69" t="s">
        <v>138</v>
      </c>
      <c r="G9" s="25" t="s">
        <v>52</v>
      </c>
      <c r="H9" s="49" t="s">
        <v>300</v>
      </c>
      <c r="I9" s="70">
        <v>0</v>
      </c>
      <c r="J9" s="25" t="s">
        <v>55</v>
      </c>
      <c r="K9" s="69" t="s">
        <v>301</v>
      </c>
      <c r="L9" s="25" t="s">
        <v>52</v>
      </c>
      <c r="M9" s="49">
        <v>4</v>
      </c>
      <c r="N9" s="70">
        <v>0</v>
      </c>
      <c r="O9" s="25" t="s">
        <v>55</v>
      </c>
      <c r="P9" s="69" t="s">
        <v>69</v>
      </c>
      <c r="Q9" s="25" t="s">
        <v>52</v>
      </c>
      <c r="R9" s="49">
        <v>7</v>
      </c>
      <c r="S9" s="70">
        <v>1</v>
      </c>
      <c r="T9" s="25" t="s">
        <v>55</v>
      </c>
      <c r="U9" s="69" t="s">
        <v>302</v>
      </c>
      <c r="V9" s="27" t="s">
        <v>56</v>
      </c>
      <c r="W9" s="375" t="s">
        <v>303</v>
      </c>
      <c r="X9" s="376"/>
      <c r="Y9" s="376"/>
      <c r="Z9" s="393"/>
      <c r="AA9" s="25" t="s">
        <v>52</v>
      </c>
      <c r="AB9" s="49">
        <v>5</v>
      </c>
      <c r="AC9" s="70">
        <v>0</v>
      </c>
      <c r="AD9" s="25" t="s">
        <v>55</v>
      </c>
      <c r="AE9" s="69" t="s">
        <v>304</v>
      </c>
    </row>
    <row r="10" ht="70" customHeight="1" spans="2:31">
      <c r="B10" s="99" t="s">
        <v>58</v>
      </c>
      <c r="C10" s="350" t="s">
        <v>305</v>
      </c>
      <c r="D10" s="283"/>
      <c r="E10" s="283"/>
      <c r="F10" s="283"/>
      <c r="G10" s="33" t="s">
        <v>58</v>
      </c>
      <c r="H10" s="149" t="s">
        <v>306</v>
      </c>
      <c r="I10" s="225"/>
      <c r="J10" s="225"/>
      <c r="K10" s="225"/>
      <c r="L10" s="33" t="s">
        <v>58</v>
      </c>
      <c r="M10" s="147" t="s">
        <v>307</v>
      </c>
      <c r="N10" s="358"/>
      <c r="O10" s="358"/>
      <c r="P10" s="358"/>
      <c r="Q10" s="33" t="s">
        <v>58</v>
      </c>
      <c r="R10" s="140" t="s">
        <v>308</v>
      </c>
      <c r="S10" s="140"/>
      <c r="T10" s="140"/>
      <c r="U10" s="140"/>
      <c r="V10" s="33"/>
      <c r="W10" s="377"/>
      <c r="X10" s="378"/>
      <c r="Y10" s="378"/>
      <c r="Z10" s="394"/>
      <c r="AA10" s="33" t="s">
        <v>58</v>
      </c>
      <c r="AB10" s="225" t="s">
        <v>309</v>
      </c>
      <c r="AC10" s="103"/>
      <c r="AD10" s="103"/>
      <c r="AE10" s="103"/>
    </row>
    <row r="11" ht="15" customHeight="1" spans="2:26">
      <c r="B11" s="35" t="s">
        <v>310</v>
      </c>
      <c r="C11" s="35"/>
      <c r="D11" s="35"/>
      <c r="E11" s="35"/>
      <c r="F11" s="35"/>
      <c r="G11" s="35" t="s">
        <v>311</v>
      </c>
      <c r="H11" s="35"/>
      <c r="I11" s="35"/>
      <c r="J11" s="35"/>
      <c r="K11" s="35"/>
      <c r="L11" s="35" t="s">
        <v>312</v>
      </c>
      <c r="M11" s="35"/>
      <c r="N11" s="35"/>
      <c r="O11" s="35"/>
      <c r="P11" s="35"/>
      <c r="Q11" s="45" t="s">
        <v>313</v>
      </c>
      <c r="R11" s="45"/>
      <c r="S11" s="45"/>
      <c r="T11" s="45"/>
      <c r="U11" s="45"/>
      <c r="V11" s="20" t="s">
        <v>79</v>
      </c>
      <c r="W11" s="20"/>
      <c r="X11" s="20"/>
      <c r="Y11" s="20"/>
      <c r="Z11" s="129"/>
    </row>
    <row r="12" ht="48" customHeight="1" spans="2:26">
      <c r="B12" s="25" t="s">
        <v>47</v>
      </c>
      <c r="C12" s="48">
        <v>1</v>
      </c>
      <c r="D12" s="68">
        <v>1</v>
      </c>
      <c r="E12" s="25" t="s">
        <v>48</v>
      </c>
      <c r="F12" s="69" t="str">
        <f>_xlfn.DISPIMG("ID_36D81C8AA6A1432D9D46CFAF43F6D505",1)</f>
        <v>=DISPIMG("ID_36D81C8AA6A1432D9D46CFAF43F6D505",1)</v>
      </c>
      <c r="G12" s="25" t="s">
        <v>47</v>
      </c>
      <c r="H12" s="48">
        <v>1</v>
      </c>
      <c r="I12" s="68">
        <v>0</v>
      </c>
      <c r="J12" s="25" t="s">
        <v>48</v>
      </c>
      <c r="K12" s="69" t="s">
        <v>179</v>
      </c>
      <c r="L12" s="25" t="s">
        <v>47</v>
      </c>
      <c r="M12" s="48">
        <v>0</v>
      </c>
      <c r="N12" s="68">
        <v>0</v>
      </c>
      <c r="O12" s="25" t="s">
        <v>48</v>
      </c>
      <c r="P12" s="69" t="s">
        <v>138</v>
      </c>
      <c r="Q12" s="25" t="s">
        <v>47</v>
      </c>
      <c r="R12" s="48">
        <v>0</v>
      </c>
      <c r="S12" s="68">
        <v>0</v>
      </c>
      <c r="T12" s="25" t="s">
        <v>48</v>
      </c>
      <c r="U12" s="69" t="s">
        <v>49</v>
      </c>
      <c r="V12" s="25" t="s">
        <v>50</v>
      </c>
      <c r="W12" s="162" t="s">
        <v>314</v>
      </c>
      <c r="X12" s="163"/>
      <c r="Y12" s="163"/>
      <c r="Z12" s="172"/>
    </row>
    <row r="13" ht="48" customHeight="1" spans="2:26">
      <c r="B13" s="25" t="s">
        <v>52</v>
      </c>
      <c r="C13" s="49">
        <v>8</v>
      </c>
      <c r="D13" s="70">
        <v>1</v>
      </c>
      <c r="E13" s="25" t="s">
        <v>55</v>
      </c>
      <c r="F13" s="69" t="s">
        <v>54</v>
      </c>
      <c r="G13" s="25" t="s">
        <v>52</v>
      </c>
      <c r="H13" s="49">
        <v>6</v>
      </c>
      <c r="I13" s="70">
        <v>0</v>
      </c>
      <c r="J13" s="25" t="s">
        <v>55</v>
      </c>
      <c r="K13" s="69" t="s">
        <v>315</v>
      </c>
      <c r="L13" s="25" t="s">
        <v>52</v>
      </c>
      <c r="M13" s="49">
        <v>2</v>
      </c>
      <c r="N13" s="70">
        <v>0</v>
      </c>
      <c r="O13" s="25" t="s">
        <v>55</v>
      </c>
      <c r="P13" s="69" t="s">
        <v>138</v>
      </c>
      <c r="Q13" s="25" t="s">
        <v>52</v>
      </c>
      <c r="R13" s="49">
        <v>1</v>
      </c>
      <c r="S13" s="70">
        <v>0</v>
      </c>
      <c r="T13" s="25" t="s">
        <v>55</v>
      </c>
      <c r="U13" s="69" t="s">
        <v>54</v>
      </c>
      <c r="V13" s="27" t="s">
        <v>56</v>
      </c>
      <c r="W13" s="375" t="s">
        <v>316</v>
      </c>
      <c r="X13" s="379"/>
      <c r="Y13" s="379"/>
      <c r="Z13" s="395"/>
    </row>
    <row r="14" ht="70" customHeight="1" spans="2:26">
      <c r="B14" s="33" t="s">
        <v>58</v>
      </c>
      <c r="C14" s="156" t="s">
        <v>317</v>
      </c>
      <c r="D14" s="97"/>
      <c r="E14" s="97"/>
      <c r="F14" s="97"/>
      <c r="G14" s="33" t="s">
        <v>58</v>
      </c>
      <c r="H14" s="351" t="s">
        <v>318</v>
      </c>
      <c r="I14" s="359"/>
      <c r="J14" s="359"/>
      <c r="K14" s="359"/>
      <c r="L14" s="33" t="s">
        <v>58</v>
      </c>
      <c r="M14" s="349" t="s">
        <v>319</v>
      </c>
      <c r="N14" s="112"/>
      <c r="O14" s="112"/>
      <c r="P14" s="112"/>
      <c r="Q14" s="54" t="s">
        <v>58</v>
      </c>
      <c r="R14" s="380" t="s">
        <v>320</v>
      </c>
      <c r="S14" s="237"/>
      <c r="T14" s="237"/>
      <c r="U14" s="237"/>
      <c r="V14" s="33"/>
      <c r="W14" s="381"/>
      <c r="X14" s="382"/>
      <c r="Y14" s="382"/>
      <c r="Z14" s="396"/>
    </row>
    <row r="15" ht="15" customHeight="1" spans="2:31">
      <c r="B15" s="45" t="s">
        <v>321</v>
      </c>
      <c r="C15" s="45"/>
      <c r="D15" s="45"/>
      <c r="E15" s="45"/>
      <c r="F15" s="45"/>
      <c r="G15" s="45" t="s">
        <v>322</v>
      </c>
      <c r="H15" s="45"/>
      <c r="I15" s="45"/>
      <c r="J15" s="45"/>
      <c r="K15" s="45"/>
      <c r="L15" s="45" t="s">
        <v>323</v>
      </c>
      <c r="M15" s="45"/>
      <c r="N15" s="45"/>
      <c r="O15" s="45"/>
      <c r="P15" s="45"/>
      <c r="Q15" s="35" t="s">
        <v>324</v>
      </c>
      <c r="R15" s="35"/>
      <c r="S15" s="35"/>
      <c r="T15" s="35"/>
      <c r="U15" s="35"/>
      <c r="V15" s="20" t="s">
        <v>94</v>
      </c>
      <c r="W15" s="20"/>
      <c r="X15" s="20"/>
      <c r="Y15" s="20"/>
      <c r="Z15" s="20"/>
      <c r="AA15" s="397"/>
      <c r="AB15" s="397"/>
      <c r="AC15" s="397"/>
      <c r="AD15" s="397"/>
      <c r="AE15" s="397"/>
    </row>
    <row r="16" ht="48" customHeight="1" spans="2:31">
      <c r="B16" s="25" t="s">
        <v>47</v>
      </c>
      <c r="C16" s="48">
        <v>1</v>
      </c>
      <c r="D16" s="68">
        <v>1</v>
      </c>
      <c r="E16" s="25" t="s">
        <v>48</v>
      </c>
      <c r="F16" s="69" t="s">
        <v>179</v>
      </c>
      <c r="G16" s="25" t="s">
        <v>47</v>
      </c>
      <c r="H16" s="48">
        <v>1</v>
      </c>
      <c r="I16" s="68">
        <v>0</v>
      </c>
      <c r="J16" s="25" t="s">
        <v>48</v>
      </c>
      <c r="K16" s="69" t="s">
        <v>161</v>
      </c>
      <c r="L16" s="25" t="s">
        <v>47</v>
      </c>
      <c r="M16" s="48">
        <v>1</v>
      </c>
      <c r="N16" s="68">
        <v>1</v>
      </c>
      <c r="O16" s="25" t="s">
        <v>48</v>
      </c>
      <c r="P16" s="69" t="s">
        <v>325</v>
      </c>
      <c r="Q16" s="25" t="s">
        <v>47</v>
      </c>
      <c r="R16" s="48">
        <v>0</v>
      </c>
      <c r="S16" s="68">
        <v>1</v>
      </c>
      <c r="T16" s="25" t="s">
        <v>48</v>
      </c>
      <c r="U16" s="69" t="str">
        <f>_xlfn.DISPIMG("ID_B3A491DE7E8941C6A0241DBE0FC44504",1)</f>
        <v>=DISPIMG("ID_B3A491DE7E8941C6A0241DBE0FC44504",1)</v>
      </c>
      <c r="V16" s="25" t="s">
        <v>50</v>
      </c>
      <c r="W16" s="162" t="s">
        <v>326</v>
      </c>
      <c r="X16" s="163"/>
      <c r="Y16" s="163"/>
      <c r="Z16" s="398"/>
      <c r="AA16" s="399"/>
      <c r="AB16" s="400"/>
      <c r="AC16" s="401"/>
      <c r="AD16" s="399"/>
      <c r="AE16" s="402"/>
    </row>
    <row r="17" ht="48" customHeight="1" spans="2:31">
      <c r="B17" s="25" t="s">
        <v>52</v>
      </c>
      <c r="C17" s="49">
        <v>8</v>
      </c>
      <c r="D17" s="70">
        <v>1</v>
      </c>
      <c r="E17" s="25" t="s">
        <v>55</v>
      </c>
      <c r="F17" s="69" t="s">
        <v>327</v>
      </c>
      <c r="G17" s="25" t="s">
        <v>52</v>
      </c>
      <c r="H17" s="49">
        <v>8</v>
      </c>
      <c r="I17" s="70">
        <v>1</v>
      </c>
      <c r="J17" s="25" t="s">
        <v>55</v>
      </c>
      <c r="K17" s="69" t="s">
        <v>69</v>
      </c>
      <c r="L17" s="25" t="s">
        <v>52</v>
      </c>
      <c r="M17" s="49">
        <v>7</v>
      </c>
      <c r="N17" s="70">
        <v>1</v>
      </c>
      <c r="O17" s="25" t="s">
        <v>55</v>
      </c>
      <c r="P17" s="69" t="s">
        <v>328</v>
      </c>
      <c r="Q17" s="25" t="s">
        <v>52</v>
      </c>
      <c r="R17" s="49">
        <v>8</v>
      </c>
      <c r="S17" s="70">
        <v>1</v>
      </c>
      <c r="T17" s="25" t="s">
        <v>55</v>
      </c>
      <c r="U17" s="69" t="s">
        <v>329</v>
      </c>
      <c r="V17" s="27" t="s">
        <v>56</v>
      </c>
      <c r="W17" s="383" t="s">
        <v>330</v>
      </c>
      <c r="X17" s="384"/>
      <c r="Y17" s="384"/>
      <c r="Z17" s="403"/>
      <c r="AA17" s="399"/>
      <c r="AB17" s="404"/>
      <c r="AC17" s="405"/>
      <c r="AD17" s="399"/>
      <c r="AE17" s="402"/>
    </row>
    <row r="18" ht="70" customHeight="1" spans="2:31">
      <c r="B18" s="54" t="s">
        <v>58</v>
      </c>
      <c r="C18" s="179" t="s">
        <v>331</v>
      </c>
      <c r="D18" s="352"/>
      <c r="E18" s="352"/>
      <c r="F18" s="352"/>
      <c r="G18" s="54" t="s">
        <v>58</v>
      </c>
      <c r="H18" s="153" t="s">
        <v>332</v>
      </c>
      <c r="I18" s="55"/>
      <c r="J18" s="55"/>
      <c r="K18" s="55"/>
      <c r="L18" s="54" t="s">
        <v>58</v>
      </c>
      <c r="M18" s="360" t="s">
        <v>333</v>
      </c>
      <c r="N18" s="361"/>
      <c r="O18" s="361"/>
      <c r="P18" s="361"/>
      <c r="Q18" s="33" t="s">
        <v>58</v>
      </c>
      <c r="R18" s="385" t="s">
        <v>334</v>
      </c>
      <c r="S18" s="386"/>
      <c r="T18" s="386"/>
      <c r="U18" s="386"/>
      <c r="V18" s="33"/>
      <c r="W18" s="387"/>
      <c r="X18" s="388"/>
      <c r="Y18" s="388"/>
      <c r="Z18" s="406"/>
      <c r="AA18" s="399"/>
      <c r="AB18" s="407"/>
      <c r="AC18" s="408"/>
      <c r="AD18" s="408"/>
      <c r="AE18" s="408"/>
    </row>
    <row r="19" spans="3:12">
      <c r="C19" s="180" t="s">
        <v>335</v>
      </c>
      <c r="D19" s="181" t="s">
        <v>104</v>
      </c>
      <c r="E19" s="181" t="s">
        <v>105</v>
      </c>
      <c r="F19" s="181"/>
      <c r="G19" s="181"/>
      <c r="H19" s="353" t="s">
        <v>322</v>
      </c>
      <c r="I19" s="181" t="s">
        <v>104</v>
      </c>
      <c r="J19" s="181" t="s">
        <v>105</v>
      </c>
      <c r="K19" s="181"/>
      <c r="L19" s="181"/>
    </row>
    <row r="20" spans="3:12">
      <c r="C20" s="182" t="str">
        <f>_xlfn.DISPIMG("ID_8C05BDD051CD4B0C8CB42C78E22EF568",1)</f>
        <v>=DISPIMG("ID_8C05BDD051CD4B0C8CB42C78E22EF568",1)</v>
      </c>
      <c r="D20" s="255" t="s">
        <v>108</v>
      </c>
      <c r="E20" s="256"/>
      <c r="F20" s="257" t="str">
        <f>_xlfn.DISPIMG("ID_8B7D284C69374EDDBB980F4407FCC5FA",1)</f>
        <v>=DISPIMG("ID_8B7D284C69374EDDBB980F4407FCC5FA",1)</v>
      </c>
      <c r="G20" s="258"/>
      <c r="H20" s="182" t="str">
        <f>_xlfn.DISPIMG("ID_8C05BDD051CD4B0C8CB42C78E22EF568",1)</f>
        <v>=DISPIMG("ID_8C05BDD051CD4B0C8CB42C78E22EF568",1)</v>
      </c>
      <c r="I20" s="255" t="s">
        <v>108</v>
      </c>
      <c r="J20" s="256"/>
      <c r="K20" s="257" t="str">
        <f>_xlfn.DISPIMG("ID_8B7D284C69374EDDBB980F4407FCC5FA",1)</f>
        <v>=DISPIMG("ID_8B7D284C69374EDDBB980F4407FCC5FA",1)</v>
      </c>
      <c r="L20" s="258"/>
    </row>
    <row r="21" spans="3:12">
      <c r="C21" s="182"/>
      <c r="D21" s="259" t="s">
        <v>110</v>
      </c>
      <c r="E21" s="260"/>
      <c r="F21" s="261"/>
      <c r="G21" s="262"/>
      <c r="H21" s="182"/>
      <c r="I21" s="259" t="s">
        <v>110</v>
      </c>
      <c r="J21" s="260"/>
      <c r="K21" s="261"/>
      <c r="L21" s="262"/>
    </row>
    <row r="22" spans="3:12">
      <c r="C22" s="189"/>
      <c r="D22" s="354" t="s">
        <v>112</v>
      </c>
      <c r="E22" s="355"/>
      <c r="F22" s="261"/>
      <c r="G22" s="262"/>
      <c r="H22" s="189"/>
      <c r="I22" s="354" t="s">
        <v>112</v>
      </c>
      <c r="J22" s="355"/>
      <c r="K22" s="261"/>
      <c r="L22" s="262"/>
    </row>
    <row r="23" spans="3:12">
      <c r="C23" s="193" t="s">
        <v>113</v>
      </c>
      <c r="D23" s="194" t="s">
        <v>336</v>
      </c>
      <c r="E23" s="195"/>
      <c r="F23" s="195"/>
      <c r="G23" s="196"/>
      <c r="H23" s="193" t="s">
        <v>113</v>
      </c>
      <c r="I23" s="194" t="s">
        <v>337</v>
      </c>
      <c r="J23" s="195"/>
      <c r="K23" s="195"/>
      <c r="L23" s="196"/>
    </row>
    <row r="24" ht="48" customHeight="1" spans="3:12">
      <c r="C24" s="197"/>
      <c r="D24" s="198"/>
      <c r="E24" s="199"/>
      <c r="F24" s="199"/>
      <c r="G24" s="200"/>
      <c r="H24" s="197"/>
      <c r="I24" s="198"/>
      <c r="J24" s="199"/>
      <c r="K24" s="199"/>
      <c r="L24" s="200"/>
    </row>
    <row r="25" spans="3:12">
      <c r="C25" s="197"/>
      <c r="D25" s="198"/>
      <c r="E25" s="199"/>
      <c r="F25" s="199"/>
      <c r="G25" s="200"/>
      <c r="H25" s="197"/>
      <c r="I25" s="198"/>
      <c r="J25" s="199"/>
      <c r="K25" s="199"/>
      <c r="L25" s="200"/>
    </row>
    <row r="26" spans="3:16">
      <c r="C26" s="197"/>
      <c r="D26" s="198"/>
      <c r="E26" s="199"/>
      <c r="F26" s="199"/>
      <c r="G26" s="200"/>
      <c r="H26" s="197"/>
      <c r="I26" s="198"/>
      <c r="J26" s="199"/>
      <c r="K26" s="199"/>
      <c r="L26" s="200"/>
      <c r="P26"/>
    </row>
    <row r="27" spans="3:12">
      <c r="C27" s="201"/>
      <c r="D27" s="202"/>
      <c r="E27" s="203"/>
      <c r="F27" s="203"/>
      <c r="G27" s="204"/>
      <c r="H27" s="201"/>
      <c r="I27" s="202"/>
      <c r="J27" s="203"/>
      <c r="K27" s="203"/>
      <c r="L27" s="204"/>
    </row>
    <row r="28" spans="15:15">
      <c r="O28"/>
    </row>
    <row r="29" spans="9:9">
      <c r="I29"/>
    </row>
    <row r="47" spans="8:8">
      <c r="H47"/>
    </row>
  </sheetData>
  <sheetProtection selectLockedCells="1" formatCells="0" formatColumns="0" formatRows="0" insertRows="0" insertColumns="0" insertHyperlinks="0" deleteColumns="0" deleteRows="0" sort="0" autoFilter="0" pivotTables="0"/>
  <mergeCells count="73">
    <mergeCell ref="B1:F1"/>
    <mergeCell ref="G1:K1"/>
    <mergeCell ref="L1:P1"/>
    <mergeCell ref="Q1:U1"/>
    <mergeCell ref="V1:Z1"/>
    <mergeCell ref="B3:F3"/>
    <mergeCell ref="G3:K3"/>
    <mergeCell ref="L3:P3"/>
    <mergeCell ref="Q3:U3"/>
    <mergeCell ref="V3:Z3"/>
    <mergeCell ref="W4:Z4"/>
    <mergeCell ref="C6:F6"/>
    <mergeCell ref="H6:K6"/>
    <mergeCell ref="M6:P6"/>
    <mergeCell ref="R6:U6"/>
    <mergeCell ref="B7:F7"/>
    <mergeCell ref="G7:K7"/>
    <mergeCell ref="L7:P7"/>
    <mergeCell ref="Q7:U7"/>
    <mergeCell ref="V7:Z7"/>
    <mergeCell ref="AA7:AE7"/>
    <mergeCell ref="W8:Z8"/>
    <mergeCell ref="C10:F10"/>
    <mergeCell ref="H10:K10"/>
    <mergeCell ref="M10:P10"/>
    <mergeCell ref="R10:U10"/>
    <mergeCell ref="AB10:AE10"/>
    <mergeCell ref="B11:F11"/>
    <mergeCell ref="G11:K11"/>
    <mergeCell ref="L11:P11"/>
    <mergeCell ref="Q11:U11"/>
    <mergeCell ref="V11:Z11"/>
    <mergeCell ref="W12:Z12"/>
    <mergeCell ref="C14:F14"/>
    <mergeCell ref="H14:K14"/>
    <mergeCell ref="M14:P14"/>
    <mergeCell ref="R14:U14"/>
    <mergeCell ref="B15:F15"/>
    <mergeCell ref="G15:K15"/>
    <mergeCell ref="L15:P15"/>
    <mergeCell ref="Q15:U15"/>
    <mergeCell ref="V15:Z15"/>
    <mergeCell ref="AA15:AE15"/>
    <mergeCell ref="W16:Z16"/>
    <mergeCell ref="C18:F18"/>
    <mergeCell ref="H18:K18"/>
    <mergeCell ref="M18:P18"/>
    <mergeCell ref="R18:U18"/>
    <mergeCell ref="AB18:AE18"/>
    <mergeCell ref="E19:G19"/>
    <mergeCell ref="J19:L19"/>
    <mergeCell ref="D20:E20"/>
    <mergeCell ref="I20:J20"/>
    <mergeCell ref="D21:E21"/>
    <mergeCell ref="I21:J21"/>
    <mergeCell ref="D22:E22"/>
    <mergeCell ref="I22:J22"/>
    <mergeCell ref="C20:C22"/>
    <mergeCell ref="C23:C27"/>
    <mergeCell ref="H20:H22"/>
    <mergeCell ref="H23:H27"/>
    <mergeCell ref="V5:V6"/>
    <mergeCell ref="V9:V10"/>
    <mergeCell ref="V13:V14"/>
    <mergeCell ref="V17:V18"/>
    <mergeCell ref="W5:Z6"/>
    <mergeCell ref="W9:Z10"/>
    <mergeCell ref="W13:Z14"/>
    <mergeCell ref="F20:G22"/>
    <mergeCell ref="D23:G27"/>
    <mergeCell ref="K20:L22"/>
    <mergeCell ref="I23:L27"/>
    <mergeCell ref="W17:Z18"/>
  </mergeCells>
  <conditionalFormatting sqref="H8">
    <cfRule type="cellIs" dxfId="0" priority="31" operator="equal">
      <formula>0</formula>
    </cfRule>
  </conditionalFormatting>
  <conditionalFormatting sqref="I8">
    <cfRule type="cellIs" dxfId="0" priority="32" operator="equal">
      <formula>0</formula>
    </cfRule>
  </conditionalFormatting>
  <conditionalFormatting sqref="M8">
    <cfRule type="cellIs" dxfId="0" priority="28" operator="equal">
      <formula>0</formula>
    </cfRule>
  </conditionalFormatting>
  <conditionalFormatting sqref="N8">
    <cfRule type="cellIs" dxfId="0" priority="29" operator="equal">
      <formula>0</formula>
    </cfRule>
  </conditionalFormatting>
  <conditionalFormatting sqref="R8">
    <cfRule type="cellIs" dxfId="0" priority="34" operator="equal">
      <formula>0</formula>
    </cfRule>
  </conditionalFormatting>
  <conditionalFormatting sqref="S8">
    <cfRule type="cellIs" dxfId="0" priority="35" operator="equal">
      <formula>0</formula>
    </cfRule>
  </conditionalFormatting>
  <conditionalFormatting sqref="AB8">
    <cfRule type="cellIs" dxfId="0" priority="1" operator="equal">
      <formula>0</formula>
    </cfRule>
  </conditionalFormatting>
  <conditionalFormatting sqref="AC8">
    <cfRule type="cellIs" dxfId="0" priority="2" operator="equal">
      <formula>0</formula>
    </cfRule>
  </conditionalFormatting>
  <conditionalFormatting sqref="R12">
    <cfRule type="cellIs" dxfId="0" priority="16" operator="equal">
      <formula>0</formula>
    </cfRule>
  </conditionalFormatting>
  <conditionalFormatting sqref="S12">
    <cfRule type="cellIs" dxfId="0" priority="17" operator="equal">
      <formula>0</formula>
    </cfRule>
  </conditionalFormatting>
  <conditionalFormatting sqref="H16">
    <cfRule type="cellIs" dxfId="0" priority="13" operator="equal">
      <formula>0</formula>
    </cfRule>
  </conditionalFormatting>
  <conditionalFormatting sqref="I16">
    <cfRule type="cellIs" dxfId="0" priority="14" operator="equal">
      <formula>0</formula>
    </cfRule>
  </conditionalFormatting>
  <conditionalFormatting sqref="R16">
    <cfRule type="cellIs" dxfId="0" priority="7" operator="equal">
      <formula>0</formula>
    </cfRule>
  </conditionalFormatting>
  <conditionalFormatting sqref="S16">
    <cfRule type="cellIs" dxfId="0" priority="8" operator="equal">
      <formula>0</formula>
    </cfRule>
  </conditionalFormatting>
  <conditionalFormatting sqref="AB16">
    <cfRule type="cellIs" dxfId="0" priority="4" operator="equal">
      <formula>0</formula>
    </cfRule>
  </conditionalFormatting>
  <conditionalFormatting sqref="AC16">
    <cfRule type="cellIs" dxfId="0" priority="5" operator="equal">
      <formula>0</formula>
    </cfRule>
  </conditionalFormatting>
  <conditionalFormatting sqref="C4 M4 M16 C16 H4 M12 H12 C12 C8 R4">
    <cfRule type="cellIs" dxfId="0" priority="37" operator="equal">
      <formula>0</formula>
    </cfRule>
  </conditionalFormatting>
  <conditionalFormatting sqref="C4:D5 H4:I5 M16:N17 C16:D17 M12:N13 H12:I13 C12:D13 M4:N5 C8:D9">
    <cfRule type="cellIs" dxfId="1" priority="40" operator="equal">
      <formula>0</formula>
    </cfRule>
  </conditionalFormatting>
  <conditionalFormatting sqref="I4 D4 D16 N16 N12 I12 D12 D8 S4 N4">
    <cfRule type="cellIs" dxfId="0" priority="38" operator="equal">
      <formula>0</formula>
    </cfRule>
  </conditionalFormatting>
  <conditionalFormatting sqref="R4:S5">
    <cfRule type="cellIs" dxfId="1" priority="39" operator="equal">
      <formula>0</formula>
    </cfRule>
  </conditionalFormatting>
  <conditionalFormatting sqref="H8:I9">
    <cfRule type="cellIs" dxfId="1" priority="33" operator="equal">
      <formula>0</formula>
    </cfRule>
  </conditionalFormatting>
  <conditionalFormatting sqref="M8:N9">
    <cfRule type="cellIs" dxfId="1" priority="30" operator="equal">
      <formula>0</formula>
    </cfRule>
  </conditionalFormatting>
  <conditionalFormatting sqref="R8:S9">
    <cfRule type="cellIs" dxfId="1" priority="36" operator="equal">
      <formula>0</formula>
    </cfRule>
  </conditionalFormatting>
  <conditionalFormatting sqref="AB8:AC9">
    <cfRule type="cellIs" dxfId="1" priority="3" operator="equal">
      <formula>0</formula>
    </cfRule>
  </conditionalFormatting>
  <conditionalFormatting sqref="R12:S13">
    <cfRule type="cellIs" dxfId="1" priority="18" operator="equal">
      <formula>0</formula>
    </cfRule>
  </conditionalFormatting>
  <conditionalFormatting sqref="H16:I17">
    <cfRule type="cellIs" dxfId="1" priority="15" operator="equal">
      <formula>0</formula>
    </cfRule>
  </conditionalFormatting>
  <conditionalFormatting sqref="R16:S17">
    <cfRule type="cellIs" dxfId="1" priority="9" operator="equal">
      <formula>0</formula>
    </cfRule>
  </conditionalFormatting>
  <conditionalFormatting sqref="AB16:AC17">
    <cfRule type="cellIs" dxfId="1" priority="6" operator="equal">
      <formula>0</formula>
    </cfRule>
  </conditionalFormatting>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5"/>
  </sheetPr>
  <dimension ref="B1:AE47"/>
  <sheetViews>
    <sheetView showGridLines="0" zoomScale="70" zoomScaleNormal="70" workbookViewId="0">
      <selection activeCell="AB10" sqref="AB10"/>
    </sheetView>
  </sheetViews>
  <sheetFormatPr defaultColWidth="8.89090909090909" defaultRowHeight="16.5"/>
  <cols>
    <col min="1" max="1" width="8.89090909090909" style="11"/>
    <col min="2" max="2" width="5.78181818181818" style="11" customWidth="1"/>
    <col min="3" max="4" width="8.78181818181818" style="11" customWidth="1"/>
    <col min="5" max="5" width="5.78181818181818" style="11" customWidth="1"/>
    <col min="6" max="6" width="14.7818181818182" style="11" customWidth="1"/>
    <col min="7" max="7" width="5.78181818181818" style="11" customWidth="1"/>
    <col min="8" max="9" width="8.78181818181818" style="11" customWidth="1"/>
    <col min="10" max="10" width="5.78181818181818" style="11" customWidth="1"/>
    <col min="11" max="11" width="14.7818181818182" style="11" customWidth="1"/>
    <col min="12" max="12" width="5.78181818181818" style="11" customWidth="1"/>
    <col min="13" max="14" width="8.78181818181818" style="11" customWidth="1"/>
    <col min="15" max="15" width="5.78181818181818" style="11" customWidth="1"/>
    <col min="16" max="16" width="14.7818181818182" style="11" customWidth="1"/>
    <col min="17" max="17" width="5.78181818181818" style="11" customWidth="1"/>
    <col min="18" max="19" width="8.78181818181818" style="11" customWidth="1"/>
    <col min="20" max="20" width="5.78181818181818" style="11" customWidth="1"/>
    <col min="21" max="21" width="14.7818181818182" style="11" customWidth="1"/>
    <col min="22" max="22" width="5.70909090909091" style="11" customWidth="1"/>
    <col min="23" max="16384" width="8.89090909090909" style="11"/>
  </cols>
  <sheetData>
    <row r="1" ht="61" customHeight="1" spans="2:26">
      <c r="B1" s="92" t="s">
        <v>338</v>
      </c>
      <c r="C1" s="93"/>
      <c r="D1" s="93"/>
      <c r="E1" s="93"/>
      <c r="F1" s="93"/>
      <c r="G1" s="94" t="s">
        <v>339</v>
      </c>
      <c r="H1" s="95"/>
      <c r="I1" s="95"/>
      <c r="J1" s="95"/>
      <c r="K1" s="95"/>
      <c r="L1" s="106"/>
      <c r="M1" s="16"/>
      <c r="N1" s="16"/>
      <c r="O1" s="16"/>
      <c r="P1" s="16"/>
      <c r="Q1" s="106"/>
      <c r="R1" s="16"/>
      <c r="S1" s="16"/>
      <c r="T1" s="16"/>
      <c r="U1" s="16"/>
      <c r="V1" s="113" t="s">
        <v>174</v>
      </c>
      <c r="W1" s="114"/>
      <c r="X1" s="114"/>
      <c r="Y1" s="114"/>
      <c r="Z1" s="114"/>
    </row>
    <row r="2" ht="12" customHeight="1" spans="2:21">
      <c r="B2" s="96"/>
      <c r="C2" s="18"/>
      <c r="D2" s="18"/>
      <c r="E2" s="18"/>
      <c r="F2" s="18"/>
      <c r="G2" s="96"/>
      <c r="H2" s="18"/>
      <c r="I2" s="18"/>
      <c r="J2" s="18"/>
      <c r="K2" s="18"/>
      <c r="L2" s="96"/>
      <c r="M2" s="18"/>
      <c r="N2" s="18"/>
      <c r="O2" s="18"/>
      <c r="P2" s="18"/>
      <c r="Q2" s="96"/>
      <c r="R2" s="18"/>
      <c r="S2" s="18"/>
      <c r="T2" s="18"/>
      <c r="U2" s="18"/>
    </row>
    <row r="3" ht="15" customHeight="1" spans="2:31">
      <c r="B3" s="20" t="s">
        <v>340</v>
      </c>
      <c r="C3" s="20"/>
      <c r="D3" s="20"/>
      <c r="E3" s="20"/>
      <c r="F3" s="20"/>
      <c r="G3" s="320" t="s">
        <v>341</v>
      </c>
      <c r="H3" s="20"/>
      <c r="I3" s="20"/>
      <c r="J3" s="20"/>
      <c r="K3" s="20"/>
      <c r="L3" s="320" t="s">
        <v>342</v>
      </c>
      <c r="M3" s="20"/>
      <c r="N3" s="20"/>
      <c r="O3" s="20"/>
      <c r="P3" s="20"/>
      <c r="Q3" s="320" t="s">
        <v>343</v>
      </c>
      <c r="R3" s="20"/>
      <c r="S3" s="20"/>
      <c r="T3" s="20"/>
      <c r="U3" s="20"/>
      <c r="V3" s="20" t="s">
        <v>46</v>
      </c>
      <c r="W3" s="20"/>
      <c r="X3" s="20"/>
      <c r="Y3" s="20"/>
      <c r="Z3" s="128"/>
      <c r="AA3" s="20" t="s">
        <v>46</v>
      </c>
      <c r="AB3" s="20"/>
      <c r="AC3" s="20"/>
      <c r="AD3" s="20"/>
      <c r="AE3" s="128"/>
    </row>
    <row r="4" ht="48" customHeight="1" spans="2:31">
      <c r="B4" s="25" t="s">
        <v>47</v>
      </c>
      <c r="C4" s="48">
        <v>1</v>
      </c>
      <c r="D4" s="68">
        <v>0</v>
      </c>
      <c r="E4" s="25" t="s">
        <v>48</v>
      </c>
      <c r="F4" s="69" t="str">
        <f>_xlfn.DISPIMG("ID_73550FB06D014938AA281F0CF418BA23",1)</f>
        <v>=DISPIMG("ID_73550FB06D014938AA281F0CF418BA23",1)</v>
      </c>
      <c r="G4" s="25" t="s">
        <v>47</v>
      </c>
      <c r="H4" s="48">
        <v>1</v>
      </c>
      <c r="I4" s="68">
        <v>0</v>
      </c>
      <c r="J4" s="25" t="s">
        <v>48</v>
      </c>
      <c r="K4" s="69" t="s">
        <v>49</v>
      </c>
      <c r="L4" s="25" t="s">
        <v>47</v>
      </c>
      <c r="M4" s="48">
        <v>1</v>
      </c>
      <c r="N4" s="68">
        <v>0</v>
      </c>
      <c r="O4" s="25" t="s">
        <v>48</v>
      </c>
      <c r="P4" s="69" t="s">
        <v>49</v>
      </c>
      <c r="Q4" s="25" t="s">
        <v>47</v>
      </c>
      <c r="R4" s="48">
        <v>0</v>
      </c>
      <c r="S4" s="68">
        <v>0</v>
      </c>
      <c r="T4" s="25" t="s">
        <v>48</v>
      </c>
      <c r="U4" s="69" t="str">
        <f>_xlfn.DISPIMG("ID_5D365D682E45441DA6E06D89CEDA661D",1)</f>
        <v>=DISPIMG("ID_5D365D682E45441DA6E06D89CEDA661D",1)</v>
      </c>
      <c r="V4" s="25" t="s">
        <v>50</v>
      </c>
      <c r="W4" s="162" t="s">
        <v>344</v>
      </c>
      <c r="X4" s="163"/>
      <c r="Y4" s="163"/>
      <c r="Z4" s="172"/>
      <c r="AA4" s="25" t="s">
        <v>50</v>
      </c>
      <c r="AB4" s="162" t="s">
        <v>345</v>
      </c>
      <c r="AC4" s="163"/>
      <c r="AD4" s="163"/>
      <c r="AE4" s="172"/>
    </row>
    <row r="5" ht="48" customHeight="1" spans="2:31">
      <c r="B5" s="25" t="s">
        <v>52</v>
      </c>
      <c r="C5" s="49">
        <v>3</v>
      </c>
      <c r="D5" s="70">
        <v>0</v>
      </c>
      <c r="E5" s="25" t="s">
        <v>53</v>
      </c>
      <c r="F5" s="69" t="s">
        <v>54</v>
      </c>
      <c r="G5" s="25" t="s">
        <v>52</v>
      </c>
      <c r="H5" s="49">
        <v>2</v>
      </c>
      <c r="I5" s="70">
        <v>0</v>
      </c>
      <c r="J5" s="25" t="s">
        <v>55</v>
      </c>
      <c r="K5" s="69" t="s">
        <v>54</v>
      </c>
      <c r="L5" s="25" t="s">
        <v>52</v>
      </c>
      <c r="M5" s="49">
        <v>2</v>
      </c>
      <c r="N5" s="70">
        <v>0</v>
      </c>
      <c r="O5" s="25" t="s">
        <v>55</v>
      </c>
      <c r="P5" s="69" t="s">
        <v>54</v>
      </c>
      <c r="Q5" s="25" t="s">
        <v>52</v>
      </c>
      <c r="R5" s="49">
        <v>5</v>
      </c>
      <c r="S5" s="70">
        <v>1</v>
      </c>
      <c r="T5" s="25" t="s">
        <v>55</v>
      </c>
      <c r="U5" s="69" t="s">
        <v>84</v>
      </c>
      <c r="V5" s="27" t="s">
        <v>56</v>
      </c>
      <c r="W5" s="164" t="s">
        <v>346</v>
      </c>
      <c r="X5" s="118"/>
      <c r="Y5" s="118"/>
      <c r="Z5" s="131"/>
      <c r="AA5" s="27" t="s">
        <v>56</v>
      </c>
      <c r="AB5" s="164" t="s">
        <v>347</v>
      </c>
      <c r="AC5" s="118"/>
      <c r="AD5" s="118"/>
      <c r="AE5" s="131"/>
    </row>
    <row r="6" ht="70" customHeight="1" spans="2:31">
      <c r="B6" s="33" t="s">
        <v>58</v>
      </c>
      <c r="C6" s="157" t="s">
        <v>348</v>
      </c>
      <c r="D6" s="157"/>
      <c r="E6" s="157"/>
      <c r="F6" s="157"/>
      <c r="G6" s="33" t="s">
        <v>58</v>
      </c>
      <c r="H6" s="321" t="s">
        <v>349</v>
      </c>
      <c r="I6" s="108"/>
      <c r="J6" s="108"/>
      <c r="K6" s="108"/>
      <c r="L6" s="33" t="s">
        <v>58</v>
      </c>
      <c r="M6" s="157" t="s">
        <v>350</v>
      </c>
      <c r="N6" s="321"/>
      <c r="O6" s="321"/>
      <c r="P6" s="321"/>
      <c r="Q6" s="33" t="s">
        <v>58</v>
      </c>
      <c r="R6" s="331" t="s">
        <v>351</v>
      </c>
      <c r="S6" s="331"/>
      <c r="T6" s="331"/>
      <c r="U6" s="331"/>
      <c r="V6" s="33"/>
      <c r="W6" s="119"/>
      <c r="X6" s="120"/>
      <c r="Y6" s="120"/>
      <c r="Z6" s="132"/>
      <c r="AA6" s="33"/>
      <c r="AB6" s="119"/>
      <c r="AC6" s="120"/>
      <c r="AD6" s="120"/>
      <c r="AE6" s="132"/>
    </row>
    <row r="7" ht="15" customHeight="1" spans="2:26">
      <c r="B7" s="322" t="s">
        <v>352</v>
      </c>
      <c r="C7" s="45"/>
      <c r="D7" s="45"/>
      <c r="E7" s="45"/>
      <c r="F7" s="45"/>
      <c r="G7" s="322" t="s">
        <v>353</v>
      </c>
      <c r="H7" s="45"/>
      <c r="I7" s="45"/>
      <c r="J7" s="45"/>
      <c r="K7" s="45"/>
      <c r="L7" s="322" t="s">
        <v>354</v>
      </c>
      <c r="M7" s="45"/>
      <c r="N7" s="45"/>
      <c r="O7" s="45"/>
      <c r="P7" s="45"/>
      <c r="Q7" s="322" t="s">
        <v>355</v>
      </c>
      <c r="R7" s="45"/>
      <c r="S7" s="45"/>
      <c r="T7" s="45"/>
      <c r="U7" s="45"/>
      <c r="V7" s="20" t="s">
        <v>67</v>
      </c>
      <c r="W7" s="20"/>
      <c r="X7" s="20"/>
      <c r="Y7" s="20"/>
      <c r="Z7" s="129"/>
    </row>
    <row r="8" ht="48" customHeight="1" spans="2:26">
      <c r="B8" s="25" t="s">
        <v>47</v>
      </c>
      <c r="C8" s="48">
        <v>1</v>
      </c>
      <c r="D8" s="68">
        <v>0</v>
      </c>
      <c r="E8" s="25" t="s">
        <v>48</v>
      </c>
      <c r="F8" s="69" t="str">
        <f>_xlfn.DISPIMG("ID_AFC600566F1649FFBEC3E8F03C14080A",1)</f>
        <v>=DISPIMG("ID_AFC600566F1649FFBEC3E8F03C14080A",1)</v>
      </c>
      <c r="G8" s="25" t="s">
        <v>47</v>
      </c>
      <c r="H8" s="48">
        <v>0</v>
      </c>
      <c r="I8" s="68">
        <v>1</v>
      </c>
      <c r="J8" s="25" t="s">
        <v>48</v>
      </c>
      <c r="K8" s="69" t="str">
        <f>_xlfn.DISPIMG("ID_40C0CF1C9E304AD39D41100E3C91254C",1)</f>
        <v>=DISPIMG("ID_40C0CF1C9E304AD39D41100E3C91254C",1)</v>
      </c>
      <c r="L8" s="25" t="s">
        <v>47</v>
      </c>
      <c r="M8" s="48">
        <v>1</v>
      </c>
      <c r="N8" s="68">
        <v>0</v>
      </c>
      <c r="O8" s="25" t="s">
        <v>48</v>
      </c>
      <c r="P8" s="69" t="s">
        <v>49</v>
      </c>
      <c r="Q8" s="25" t="s">
        <v>47</v>
      </c>
      <c r="R8" s="48">
        <v>1</v>
      </c>
      <c r="S8" s="68">
        <v>1</v>
      </c>
      <c r="T8" s="25" t="s">
        <v>48</v>
      </c>
      <c r="U8" s="69" t="s">
        <v>49</v>
      </c>
      <c r="V8" s="25" t="s">
        <v>50</v>
      </c>
      <c r="W8" s="121" t="s">
        <v>356</v>
      </c>
      <c r="X8" s="122"/>
      <c r="Y8" s="122"/>
      <c r="Z8" s="130"/>
    </row>
    <row r="9" ht="48" customHeight="1" spans="2:26">
      <c r="B9" s="25" t="s">
        <v>52</v>
      </c>
      <c r="C9" s="49">
        <v>2</v>
      </c>
      <c r="D9" s="70">
        <v>0</v>
      </c>
      <c r="E9" s="25" t="s">
        <v>55</v>
      </c>
      <c r="F9" s="69" t="s">
        <v>69</v>
      </c>
      <c r="G9" s="25" t="s">
        <v>52</v>
      </c>
      <c r="H9" s="49">
        <v>4</v>
      </c>
      <c r="I9" s="70">
        <v>0</v>
      </c>
      <c r="J9" s="25" t="s">
        <v>55</v>
      </c>
      <c r="K9" s="69" t="str">
        <f>_xlfn.DISPIMG("ID_770D6385ECD841C0A2279EF988E3F447",1)</f>
        <v>=DISPIMG("ID_770D6385ECD841C0A2279EF988E3F447",1)</v>
      </c>
      <c r="L9" s="25" t="s">
        <v>52</v>
      </c>
      <c r="M9" s="49">
        <v>2</v>
      </c>
      <c r="N9" s="70">
        <v>0</v>
      </c>
      <c r="O9" s="25" t="s">
        <v>55</v>
      </c>
      <c r="P9" s="69" t="s">
        <v>54</v>
      </c>
      <c r="Q9" s="25" t="s">
        <v>52</v>
      </c>
      <c r="R9" s="49">
        <v>8</v>
      </c>
      <c r="S9" s="70">
        <v>1</v>
      </c>
      <c r="T9" s="25" t="s">
        <v>55</v>
      </c>
      <c r="U9" s="69" t="s">
        <v>357</v>
      </c>
      <c r="V9" s="27" t="s">
        <v>56</v>
      </c>
      <c r="W9" s="282" t="s">
        <v>358</v>
      </c>
      <c r="X9" s="211"/>
      <c r="Y9" s="211"/>
      <c r="Z9" s="227"/>
    </row>
    <row r="10" ht="70" customHeight="1" spans="2:26">
      <c r="B10" s="99" t="s">
        <v>58</v>
      </c>
      <c r="C10" s="145" t="s">
        <v>359</v>
      </c>
      <c r="D10" s="283"/>
      <c r="E10" s="283"/>
      <c r="F10" s="283"/>
      <c r="G10" s="99" t="s">
        <v>58</v>
      </c>
      <c r="H10" s="323" t="s">
        <v>360</v>
      </c>
      <c r="I10" s="323"/>
      <c r="J10" s="323"/>
      <c r="K10" s="323"/>
      <c r="L10" s="99" t="s">
        <v>58</v>
      </c>
      <c r="M10" s="205" t="s">
        <v>361</v>
      </c>
      <c r="N10" s="205"/>
      <c r="O10" s="205"/>
      <c r="P10" s="205"/>
      <c r="Q10" s="99" t="s">
        <v>58</v>
      </c>
      <c r="R10" s="332" t="s">
        <v>362</v>
      </c>
      <c r="S10" s="332"/>
      <c r="T10" s="332"/>
      <c r="U10" s="332"/>
      <c r="V10" s="33"/>
      <c r="W10" s="212"/>
      <c r="X10" s="213"/>
      <c r="Y10" s="213"/>
      <c r="Z10" s="228"/>
    </row>
    <row r="11" ht="15" customHeight="1" spans="2:26">
      <c r="B11" s="324" t="s">
        <v>363</v>
      </c>
      <c r="C11" s="35"/>
      <c r="D11" s="35"/>
      <c r="E11" s="35"/>
      <c r="F11" s="35"/>
      <c r="G11" s="45" t="s">
        <v>364</v>
      </c>
      <c r="H11" s="45"/>
      <c r="I11" s="45"/>
      <c r="J11" s="45"/>
      <c r="K11" s="45"/>
      <c r="L11" s="324" t="s">
        <v>365</v>
      </c>
      <c r="M11" s="35"/>
      <c r="N11" s="35"/>
      <c r="O11" s="35"/>
      <c r="P11" s="35"/>
      <c r="Q11" s="324" t="s">
        <v>366</v>
      </c>
      <c r="R11" s="35"/>
      <c r="S11" s="35"/>
      <c r="T11" s="35"/>
      <c r="U11" s="35"/>
      <c r="V11" s="20" t="s">
        <v>79</v>
      </c>
      <c r="W11" s="20"/>
      <c r="X11" s="20"/>
      <c r="Y11" s="20"/>
      <c r="Z11" s="129"/>
    </row>
    <row r="12" ht="48" customHeight="1" spans="2:26">
      <c r="B12" s="25" t="s">
        <v>47</v>
      </c>
      <c r="C12" s="48">
        <v>1</v>
      </c>
      <c r="D12" s="68">
        <v>0</v>
      </c>
      <c r="E12" s="25" t="s">
        <v>48</v>
      </c>
      <c r="F12" s="69" t="s">
        <v>123</v>
      </c>
      <c r="G12" s="25" t="s">
        <v>47</v>
      </c>
      <c r="H12" s="48">
        <v>1</v>
      </c>
      <c r="I12" s="68">
        <v>0</v>
      </c>
      <c r="J12" s="25" t="s">
        <v>48</v>
      </c>
      <c r="K12" s="69" t="s">
        <v>49</v>
      </c>
      <c r="L12" s="25" t="s">
        <v>47</v>
      </c>
      <c r="M12" s="48">
        <v>1</v>
      </c>
      <c r="N12" s="68">
        <v>0</v>
      </c>
      <c r="O12" s="25" t="s">
        <v>48</v>
      </c>
      <c r="P12" s="69" t="s">
        <v>138</v>
      </c>
      <c r="Q12" s="25" t="s">
        <v>47</v>
      </c>
      <c r="R12" s="48">
        <v>1</v>
      </c>
      <c r="S12" s="68">
        <v>1</v>
      </c>
      <c r="T12" s="25" t="s">
        <v>48</v>
      </c>
      <c r="U12" s="69" t="str">
        <f>_xlfn.DISPIMG("ID_72A1113324084D7FAEE46898E1DF046E",1)</f>
        <v>=DISPIMG("ID_72A1113324084D7FAEE46898E1DF046E",1)</v>
      </c>
      <c r="V12" s="25" t="s">
        <v>50</v>
      </c>
      <c r="W12" s="333" t="s">
        <v>367</v>
      </c>
      <c r="X12" s="334"/>
      <c r="Y12" s="334"/>
      <c r="Z12" s="344"/>
    </row>
    <row r="13" ht="48" customHeight="1" spans="2:26">
      <c r="B13" s="25" t="s">
        <v>52</v>
      </c>
      <c r="C13" s="49">
        <v>2</v>
      </c>
      <c r="D13" s="70">
        <v>0</v>
      </c>
      <c r="E13" s="25" t="s">
        <v>55</v>
      </c>
      <c r="F13" s="69" t="s">
        <v>368</v>
      </c>
      <c r="G13" s="25" t="s">
        <v>52</v>
      </c>
      <c r="H13" s="49">
        <v>5</v>
      </c>
      <c r="I13" s="70">
        <v>0</v>
      </c>
      <c r="J13" s="25" t="s">
        <v>55</v>
      </c>
      <c r="K13" s="69" t="s">
        <v>84</v>
      </c>
      <c r="L13" s="25" t="s">
        <v>52</v>
      </c>
      <c r="M13" s="49">
        <v>3</v>
      </c>
      <c r="N13" s="70">
        <v>0</v>
      </c>
      <c r="O13" s="25" t="s">
        <v>55</v>
      </c>
      <c r="P13" s="69" t="s">
        <v>138</v>
      </c>
      <c r="Q13" s="25" t="s">
        <v>52</v>
      </c>
      <c r="R13" s="49">
        <v>7</v>
      </c>
      <c r="S13" s="70">
        <v>1</v>
      </c>
      <c r="T13" s="25" t="s">
        <v>55</v>
      </c>
      <c r="U13" s="69" t="s">
        <v>84</v>
      </c>
      <c r="V13" s="27" t="s">
        <v>56</v>
      </c>
      <c r="W13" s="335" t="s">
        <v>369</v>
      </c>
      <c r="X13" s="336"/>
      <c r="Y13" s="336"/>
      <c r="Z13" s="345"/>
    </row>
    <row r="14" ht="70" customHeight="1" spans="2:26">
      <c r="B14" s="33" t="s">
        <v>58</v>
      </c>
      <c r="C14" s="157" t="s">
        <v>370</v>
      </c>
      <c r="D14" s="157"/>
      <c r="E14" s="157"/>
      <c r="F14" s="157"/>
      <c r="G14" s="99" t="s">
        <v>58</v>
      </c>
      <c r="H14" s="145" t="s">
        <v>371</v>
      </c>
      <c r="I14" s="283"/>
      <c r="J14" s="283"/>
      <c r="K14" s="283"/>
      <c r="L14" s="33" t="s">
        <v>58</v>
      </c>
      <c r="M14" s="139" t="s">
        <v>372</v>
      </c>
      <c r="N14" s="139"/>
      <c r="O14" s="139"/>
      <c r="P14" s="139"/>
      <c r="Q14" s="33" t="s">
        <v>58</v>
      </c>
      <c r="R14" s="331" t="s">
        <v>373</v>
      </c>
      <c r="S14" s="103"/>
      <c r="T14" s="103"/>
      <c r="U14" s="103"/>
      <c r="V14" s="33"/>
      <c r="W14" s="337"/>
      <c r="X14" s="338"/>
      <c r="Y14" s="338"/>
      <c r="Z14" s="346"/>
    </row>
    <row r="15" ht="15" customHeight="1" spans="2:26">
      <c r="B15" s="324" t="s">
        <v>374</v>
      </c>
      <c r="C15" s="35"/>
      <c r="D15" s="35"/>
      <c r="E15" s="35"/>
      <c r="F15" s="35"/>
      <c r="G15" s="322" t="s">
        <v>375</v>
      </c>
      <c r="H15" s="45"/>
      <c r="I15" s="45"/>
      <c r="J15" s="45"/>
      <c r="K15" s="45"/>
      <c r="L15" s="322" t="s">
        <v>376</v>
      </c>
      <c r="M15" s="45"/>
      <c r="N15" s="45"/>
      <c r="O15" s="45"/>
      <c r="P15" s="45"/>
      <c r="Q15" s="322" t="s">
        <v>377</v>
      </c>
      <c r="R15" s="45"/>
      <c r="S15" s="45"/>
      <c r="T15" s="45"/>
      <c r="U15" s="45"/>
      <c r="V15" s="45"/>
      <c r="W15" s="45"/>
      <c r="X15" s="45"/>
      <c r="Y15" s="45"/>
      <c r="Z15" s="133"/>
    </row>
    <row r="16" ht="48" customHeight="1" spans="2:26">
      <c r="B16" s="25" t="s">
        <v>47</v>
      </c>
      <c r="C16" s="48">
        <v>1</v>
      </c>
      <c r="D16" s="68">
        <v>1</v>
      </c>
      <c r="E16" s="25" t="s">
        <v>48</v>
      </c>
      <c r="F16" s="69" t="str">
        <f>_xlfn.DISPIMG("ID_706ABC842E224EFFB7936338B64C780A",1)</f>
        <v>=DISPIMG("ID_706ABC842E224EFFB7936338B64C780A",1)</v>
      </c>
      <c r="G16" s="25" t="s">
        <v>47</v>
      </c>
      <c r="H16" s="48">
        <v>0</v>
      </c>
      <c r="I16" s="68">
        <v>0</v>
      </c>
      <c r="J16" s="25" t="s">
        <v>48</v>
      </c>
      <c r="K16" s="69" t="s">
        <v>138</v>
      </c>
      <c r="L16" s="25" t="s">
        <v>47</v>
      </c>
      <c r="M16" s="48">
        <v>1</v>
      </c>
      <c r="N16" s="68">
        <v>1</v>
      </c>
      <c r="O16" s="25" t="s">
        <v>48</v>
      </c>
      <c r="P16" s="69" t="s">
        <v>267</v>
      </c>
      <c r="Q16" s="25" t="s">
        <v>47</v>
      </c>
      <c r="R16" s="48">
        <v>1</v>
      </c>
      <c r="S16" s="68">
        <v>0</v>
      </c>
      <c r="T16" s="25" t="s">
        <v>48</v>
      </c>
      <c r="U16" s="69" t="s">
        <v>138</v>
      </c>
      <c r="V16" s="25" t="s">
        <v>50</v>
      </c>
      <c r="W16" s="216" t="s">
        <v>378</v>
      </c>
      <c r="X16" s="217"/>
      <c r="Y16" s="217"/>
      <c r="Z16" s="229"/>
    </row>
    <row r="17" ht="48" customHeight="1" spans="2:26">
      <c r="B17" s="25" t="s">
        <v>52</v>
      </c>
      <c r="C17" s="49">
        <v>4</v>
      </c>
      <c r="D17" s="70">
        <v>0</v>
      </c>
      <c r="E17" s="25" t="s">
        <v>55</v>
      </c>
      <c r="F17" s="69" t="s">
        <v>379</v>
      </c>
      <c r="G17" s="25" t="s">
        <v>52</v>
      </c>
      <c r="H17" s="49">
        <v>0</v>
      </c>
      <c r="I17" s="70">
        <v>0</v>
      </c>
      <c r="J17" s="25" t="s">
        <v>55</v>
      </c>
      <c r="K17" s="69" t="s">
        <v>138</v>
      </c>
      <c r="L17" s="25" t="s">
        <v>52</v>
      </c>
      <c r="M17" s="49">
        <v>3</v>
      </c>
      <c r="N17" s="70">
        <v>1</v>
      </c>
      <c r="O17" s="25" t="s">
        <v>55</v>
      </c>
      <c r="P17" s="69" t="s">
        <v>84</v>
      </c>
      <c r="Q17" s="25" t="s">
        <v>52</v>
      </c>
      <c r="R17" s="49">
        <v>6</v>
      </c>
      <c r="S17" s="70">
        <v>1</v>
      </c>
      <c r="T17" s="25" t="s">
        <v>55</v>
      </c>
      <c r="U17" s="69" t="s">
        <v>138</v>
      </c>
      <c r="V17" s="27" t="s">
        <v>56</v>
      </c>
      <c r="W17" s="339" t="s">
        <v>380</v>
      </c>
      <c r="X17" s="340"/>
      <c r="Y17" s="340"/>
      <c r="Z17" s="347"/>
    </row>
    <row r="18" ht="70" customHeight="1" spans="2:26">
      <c r="B18" s="33" t="s">
        <v>58</v>
      </c>
      <c r="C18" s="290" t="s">
        <v>381</v>
      </c>
      <c r="D18" s="148"/>
      <c r="E18" s="148"/>
      <c r="F18" s="148"/>
      <c r="G18" s="54" t="s">
        <v>58</v>
      </c>
      <c r="H18" s="249" t="s">
        <v>382</v>
      </c>
      <c r="I18" s="105"/>
      <c r="J18" s="105"/>
      <c r="K18" s="105"/>
      <c r="L18" s="54" t="s">
        <v>58</v>
      </c>
      <c r="M18" s="166" t="s">
        <v>383</v>
      </c>
      <c r="N18" s="166"/>
      <c r="O18" s="166"/>
      <c r="P18" s="166"/>
      <c r="Q18" s="54" t="s">
        <v>58</v>
      </c>
      <c r="R18" s="341" t="s">
        <v>384</v>
      </c>
      <c r="S18" s="341"/>
      <c r="T18" s="341"/>
      <c r="U18" s="341"/>
      <c r="V18" s="54"/>
      <c r="W18" s="342"/>
      <c r="X18" s="343"/>
      <c r="Y18" s="343"/>
      <c r="Z18" s="348"/>
    </row>
    <row r="19" spans="3:7">
      <c r="C19" s="180" t="s">
        <v>385</v>
      </c>
      <c r="D19" s="181" t="s">
        <v>104</v>
      </c>
      <c r="E19" s="181" t="s">
        <v>105</v>
      </c>
      <c r="F19" s="181"/>
      <c r="G19" s="181"/>
    </row>
    <row r="20" spans="3:7">
      <c r="C20" s="182" t="str">
        <f>_xlfn.DISPIMG("ID_53CA36B191B04AB7AD2CB70DD7FFCABD",1)</f>
        <v>=DISPIMG("ID_53CA36B191B04AB7AD2CB70DD7FFCABD",1)</v>
      </c>
      <c r="D20" s="255" t="s">
        <v>108</v>
      </c>
      <c r="E20" s="256"/>
      <c r="F20" s="257"/>
      <c r="G20" s="258"/>
    </row>
    <row r="21" spans="3:7">
      <c r="C21" s="182"/>
      <c r="D21" s="259" t="s">
        <v>110</v>
      </c>
      <c r="E21" s="260"/>
      <c r="F21" s="261"/>
      <c r="G21" s="262"/>
    </row>
    <row r="22" spans="3:7">
      <c r="C22" s="182"/>
      <c r="D22" s="259" t="s">
        <v>112</v>
      </c>
      <c r="E22" s="260"/>
      <c r="F22" s="263"/>
      <c r="G22" s="264"/>
    </row>
    <row r="23" spans="3:7">
      <c r="C23" s="265" t="s">
        <v>113</v>
      </c>
      <c r="D23" s="325" t="s">
        <v>386</v>
      </c>
      <c r="E23" s="326"/>
      <c r="F23" s="326"/>
      <c r="G23" s="327"/>
    </row>
    <row r="24" ht="41.25" customHeight="1" spans="3:7">
      <c r="C24" s="269"/>
      <c r="D24" s="328"/>
      <c r="E24" s="329"/>
      <c r="F24" s="329"/>
      <c r="G24" s="330"/>
    </row>
    <row r="47" spans="8:8">
      <c r="H47"/>
    </row>
  </sheetData>
  <sheetProtection selectLockedCells="1" formatCells="0" formatColumns="0" formatRows="0" insertRows="0" insertColumns="0" insertHyperlinks="0" deleteColumns="0" deleteRows="0" sort="0" autoFilter="0" pivotTables="0"/>
  <mergeCells count="65">
    <mergeCell ref="B1:F1"/>
    <mergeCell ref="G1:K1"/>
    <mergeCell ref="L1:P1"/>
    <mergeCell ref="Q1:U1"/>
    <mergeCell ref="V1:Z1"/>
    <mergeCell ref="B3:F3"/>
    <mergeCell ref="G3:K3"/>
    <mergeCell ref="L3:P3"/>
    <mergeCell ref="Q3:U3"/>
    <mergeCell ref="V3:Z3"/>
    <mergeCell ref="AA3:AE3"/>
    <mergeCell ref="W4:Z4"/>
    <mergeCell ref="AB4:AE4"/>
    <mergeCell ref="C6:F6"/>
    <mergeCell ref="H6:K6"/>
    <mergeCell ref="M6:P6"/>
    <mergeCell ref="R6:U6"/>
    <mergeCell ref="B7:F7"/>
    <mergeCell ref="G7:K7"/>
    <mergeCell ref="L7:P7"/>
    <mergeCell ref="Q7:U7"/>
    <mergeCell ref="V7:Z7"/>
    <mergeCell ref="W8:Z8"/>
    <mergeCell ref="C10:F10"/>
    <mergeCell ref="H10:K10"/>
    <mergeCell ref="M10:P10"/>
    <mergeCell ref="R10:U10"/>
    <mergeCell ref="B11:F11"/>
    <mergeCell ref="G11:K11"/>
    <mergeCell ref="L11:P11"/>
    <mergeCell ref="Q11:U11"/>
    <mergeCell ref="V11:Z11"/>
    <mergeCell ref="W12:Z12"/>
    <mergeCell ref="C14:F14"/>
    <mergeCell ref="H14:K14"/>
    <mergeCell ref="M14:P14"/>
    <mergeCell ref="R14:U14"/>
    <mergeCell ref="B15:F15"/>
    <mergeCell ref="G15:K15"/>
    <mergeCell ref="L15:P15"/>
    <mergeCell ref="Q15:U15"/>
    <mergeCell ref="V15:Z15"/>
    <mergeCell ref="W16:Z16"/>
    <mergeCell ref="C18:F18"/>
    <mergeCell ref="H18:K18"/>
    <mergeCell ref="M18:P18"/>
    <mergeCell ref="R18:U18"/>
    <mergeCell ref="E19:G19"/>
    <mergeCell ref="D20:E20"/>
    <mergeCell ref="D21:E21"/>
    <mergeCell ref="D22:E22"/>
    <mergeCell ref="C20:C22"/>
    <mergeCell ref="C23:C24"/>
    <mergeCell ref="V5:V6"/>
    <mergeCell ref="V9:V10"/>
    <mergeCell ref="V13:V14"/>
    <mergeCell ref="V17:V18"/>
    <mergeCell ref="AA5:AA6"/>
    <mergeCell ref="W9:Z10"/>
    <mergeCell ref="W13:Z14"/>
    <mergeCell ref="W17:Z18"/>
    <mergeCell ref="F20:G22"/>
    <mergeCell ref="D23:G24"/>
    <mergeCell ref="W5:Z6"/>
    <mergeCell ref="AB5:AE6"/>
  </mergeCells>
  <conditionalFormatting sqref="C4:D5 H4:I5 M16:N17 H16:I17 C16:D17 M12:N13 H12:I13 C12:D13 M8:N9 M4:N5 H8:I9 C8:D9">
    <cfRule type="cellIs" dxfId="1" priority="4" operator="equal">
      <formula>0</formula>
    </cfRule>
  </conditionalFormatting>
  <conditionalFormatting sqref="C4 R16 M16 H16 C16 H4 R12 M12 H12 C12 C8 H8 M8 R8 R4 M4">
    <cfRule type="cellIs" dxfId="0" priority="1" operator="equal">
      <formula>0</formula>
    </cfRule>
  </conditionalFormatting>
  <conditionalFormatting sqref="D4 D16 I16 N16 S16 S12 N12 I8 I12 D12 D8 N8 S8 S4 N4 I4">
    <cfRule type="cellIs" dxfId="0" priority="2" operator="equal">
      <formula>0</formula>
    </cfRule>
  </conditionalFormatting>
  <conditionalFormatting sqref="R4:S5 R16:S17 R12:S13 R8:S9">
    <cfRule type="cellIs" dxfId="1" priority="3" operator="equal">
      <formula>0</formula>
    </cfRule>
  </conditionalFormatting>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B1:AE47"/>
  <sheetViews>
    <sheetView showGridLines="0" zoomScale="70" zoomScaleNormal="70" workbookViewId="0">
      <selection activeCell="AG4" sqref="AG4"/>
    </sheetView>
  </sheetViews>
  <sheetFormatPr defaultColWidth="8.89090909090909" defaultRowHeight="16.5"/>
  <cols>
    <col min="1" max="1" width="8.89090909090909" style="11"/>
    <col min="2" max="2" width="5.78181818181818" style="11" customWidth="1"/>
    <col min="3" max="4" width="8.78181818181818" style="11" customWidth="1"/>
    <col min="5" max="5" width="5.78181818181818" style="11" customWidth="1"/>
    <col min="6" max="6" width="14.7818181818182" style="11" customWidth="1"/>
    <col min="7" max="7" width="5.78181818181818" style="11" customWidth="1"/>
    <col min="8" max="9" width="8.78181818181818" style="11" customWidth="1"/>
    <col min="10" max="10" width="5.78181818181818" style="11" customWidth="1"/>
    <col min="11" max="11" width="14.7818181818182" style="11" customWidth="1"/>
    <col min="12" max="12" width="5.78181818181818" style="11" customWidth="1"/>
    <col min="13" max="14" width="8.78181818181818" style="11" customWidth="1"/>
    <col min="15" max="15" width="5.78181818181818" style="11" customWidth="1"/>
    <col min="16" max="16" width="14.7818181818182" style="11" customWidth="1"/>
    <col min="17" max="17" width="5.78181818181818" style="11" customWidth="1"/>
    <col min="18" max="19" width="8.78181818181818" style="11" customWidth="1"/>
    <col min="20" max="20" width="5.78181818181818" style="11" customWidth="1"/>
    <col min="21" max="21" width="14.7818181818182" style="11" customWidth="1"/>
    <col min="22" max="22" width="5.70909090909091" style="11" customWidth="1"/>
    <col min="23" max="16384" width="8.89090909090909" style="11"/>
  </cols>
  <sheetData>
    <row r="1" ht="61" customHeight="1" spans="2:26">
      <c r="B1" s="92" t="s">
        <v>387</v>
      </c>
      <c r="C1" s="93"/>
      <c r="D1" s="93"/>
      <c r="E1" s="93"/>
      <c r="F1" s="93"/>
      <c r="G1" s="94" t="s">
        <v>388</v>
      </c>
      <c r="H1" s="95"/>
      <c r="I1" s="95"/>
      <c r="J1" s="95"/>
      <c r="K1" s="95"/>
      <c r="L1" s="293" t="s">
        <v>389</v>
      </c>
      <c r="M1" s="294"/>
      <c r="N1" s="294"/>
      <c r="O1" s="294"/>
      <c r="P1" s="294"/>
      <c r="Q1" s="106" t="s">
        <v>390</v>
      </c>
      <c r="R1" s="16"/>
      <c r="S1" s="16"/>
      <c r="T1" s="16"/>
      <c r="U1" s="16"/>
      <c r="V1" s="113" t="s">
        <v>391</v>
      </c>
      <c r="W1" s="114"/>
      <c r="X1" s="114"/>
      <c r="Y1" s="114"/>
      <c r="Z1" s="114"/>
    </row>
    <row r="2" ht="12" customHeight="1" spans="2:21">
      <c r="B2" s="96"/>
      <c r="C2" s="18"/>
      <c r="D2" s="18"/>
      <c r="E2" s="18"/>
      <c r="F2" s="18"/>
      <c r="G2" s="96"/>
      <c r="H2" s="18"/>
      <c r="I2" s="18"/>
      <c r="J2" s="18"/>
      <c r="K2" s="18"/>
      <c r="L2" s="96"/>
      <c r="M2" s="18"/>
      <c r="N2" s="18"/>
      <c r="O2" s="18"/>
      <c r="P2" s="18"/>
      <c r="Q2" s="96"/>
      <c r="R2" s="18"/>
      <c r="S2" s="18"/>
      <c r="T2" s="18"/>
      <c r="U2" s="18"/>
    </row>
    <row r="3" ht="15" customHeight="1" spans="2:26">
      <c r="B3" s="20" t="s">
        <v>392</v>
      </c>
      <c r="C3" s="20"/>
      <c r="D3" s="20"/>
      <c r="E3" s="20"/>
      <c r="F3" s="20"/>
      <c r="G3" s="45" t="s">
        <v>393</v>
      </c>
      <c r="H3" s="45"/>
      <c r="I3" s="45"/>
      <c r="J3" s="45"/>
      <c r="K3" s="45"/>
      <c r="L3" s="20" t="s">
        <v>394</v>
      </c>
      <c r="M3" s="20"/>
      <c r="N3" s="20"/>
      <c r="O3" s="20"/>
      <c r="P3" s="20"/>
      <c r="Q3" s="20" t="s">
        <v>395</v>
      </c>
      <c r="R3" s="20"/>
      <c r="S3" s="20"/>
      <c r="T3" s="20"/>
      <c r="U3" s="20"/>
      <c r="V3" s="20" t="s">
        <v>46</v>
      </c>
      <c r="W3" s="20"/>
      <c r="X3" s="20"/>
      <c r="Y3" s="20"/>
      <c r="Z3" s="128"/>
    </row>
    <row r="4" ht="48" customHeight="1" spans="2:26">
      <c r="B4" s="25" t="s">
        <v>47</v>
      </c>
      <c r="C4" s="48">
        <v>1</v>
      </c>
      <c r="D4" s="68">
        <v>0</v>
      </c>
      <c r="E4" s="25" t="s">
        <v>48</v>
      </c>
      <c r="F4" s="69" t="str">
        <f>_xlfn.DISPIMG("ID_73550FB06D014938AA281F0CF418BA23",1)</f>
        <v>=DISPIMG("ID_73550FB06D014938AA281F0CF418BA23",1)</v>
      </c>
      <c r="G4" s="25" t="s">
        <v>47</v>
      </c>
      <c r="H4" s="48">
        <v>0</v>
      </c>
      <c r="I4" s="68">
        <v>1</v>
      </c>
      <c r="J4" s="25" t="s">
        <v>48</v>
      </c>
      <c r="K4" s="69" t="str">
        <f>_xlfn.DISPIMG("ID_73550FB06D014938AA281F0CF418BA23",1)</f>
        <v>=DISPIMG("ID_73550FB06D014938AA281F0CF418BA23",1)</v>
      </c>
      <c r="L4" s="25" t="s">
        <v>47</v>
      </c>
      <c r="M4" s="48">
        <v>0</v>
      </c>
      <c r="N4" s="68">
        <v>1</v>
      </c>
      <c r="O4" s="25" t="s">
        <v>48</v>
      </c>
      <c r="P4" s="69" t="str">
        <f>_xlfn.DISPIMG("ID_73550FB06D014938AA281F0CF418BA23",1)</f>
        <v>=DISPIMG("ID_73550FB06D014938AA281F0CF418BA23",1)</v>
      </c>
      <c r="Q4" s="25" t="s">
        <v>47</v>
      </c>
      <c r="R4" s="48">
        <v>1</v>
      </c>
      <c r="S4" s="68">
        <v>0</v>
      </c>
      <c r="T4" s="25" t="s">
        <v>48</v>
      </c>
      <c r="U4" s="69" t="str">
        <f>_xlfn.DISPIMG("ID_BFFED469CEEA4E5693156E4AB12B41C6",1)</f>
        <v>=DISPIMG("ID_BFFED469CEEA4E5693156E4AB12B41C6",1)</v>
      </c>
      <c r="V4" s="25" t="s">
        <v>50</v>
      </c>
      <c r="W4" s="121" t="s">
        <v>396</v>
      </c>
      <c r="X4" s="122"/>
      <c r="Y4" s="122"/>
      <c r="Z4" s="122"/>
    </row>
    <row r="5" ht="48" customHeight="1" spans="2:26">
      <c r="B5" s="25" t="s">
        <v>52</v>
      </c>
      <c r="C5" s="49">
        <v>1</v>
      </c>
      <c r="D5" s="70">
        <v>0</v>
      </c>
      <c r="E5" s="25" t="s">
        <v>53</v>
      </c>
      <c r="F5" s="69" t="s">
        <v>397</v>
      </c>
      <c r="G5" s="25" t="s">
        <v>52</v>
      </c>
      <c r="H5" s="49">
        <v>1</v>
      </c>
      <c r="I5" s="70">
        <v>0</v>
      </c>
      <c r="J5" s="25" t="s">
        <v>55</v>
      </c>
      <c r="K5" s="69" t="s">
        <v>54</v>
      </c>
      <c r="L5" s="25" t="s">
        <v>52</v>
      </c>
      <c r="M5" s="49">
        <v>4</v>
      </c>
      <c r="N5" s="70">
        <v>0</v>
      </c>
      <c r="O5" s="25" t="s">
        <v>55</v>
      </c>
      <c r="P5" s="69" t="s">
        <v>54</v>
      </c>
      <c r="Q5" s="25" t="s">
        <v>52</v>
      </c>
      <c r="R5" s="49">
        <v>2</v>
      </c>
      <c r="S5" s="70">
        <v>1</v>
      </c>
      <c r="T5" s="25" t="s">
        <v>55</v>
      </c>
      <c r="U5" s="69" t="s">
        <v>397</v>
      </c>
      <c r="V5" s="27" t="s">
        <v>56</v>
      </c>
      <c r="W5" s="297" t="s">
        <v>398</v>
      </c>
      <c r="X5" s="298"/>
      <c r="Y5" s="298"/>
      <c r="Z5" s="298"/>
    </row>
    <row r="6" ht="70" customHeight="1" spans="2:26">
      <c r="B6" s="33" t="s">
        <v>58</v>
      </c>
      <c r="C6" s="156" t="s">
        <v>399</v>
      </c>
      <c r="D6" s="139"/>
      <c r="E6" s="139"/>
      <c r="F6" s="139"/>
      <c r="G6" s="99" t="s">
        <v>58</v>
      </c>
      <c r="H6" s="287" t="s">
        <v>400</v>
      </c>
      <c r="I6" s="235"/>
      <c r="J6" s="235"/>
      <c r="K6" s="235"/>
      <c r="L6" s="33" t="s">
        <v>58</v>
      </c>
      <c r="M6" s="127" t="s">
        <v>401</v>
      </c>
      <c r="N6" s="127"/>
      <c r="O6" s="127"/>
      <c r="P6" s="127"/>
      <c r="Q6" s="33" t="s">
        <v>58</v>
      </c>
      <c r="R6" s="126" t="s">
        <v>402</v>
      </c>
      <c r="S6" s="108"/>
      <c r="T6" s="108"/>
      <c r="U6" s="108"/>
      <c r="V6" s="33"/>
      <c r="W6" s="299"/>
      <c r="X6" s="300"/>
      <c r="Y6" s="300"/>
      <c r="Z6" s="300"/>
    </row>
    <row r="7" ht="15" customHeight="1" spans="2:26">
      <c r="B7" s="45" t="s">
        <v>403</v>
      </c>
      <c r="C7" s="45"/>
      <c r="D7" s="45"/>
      <c r="E7" s="45"/>
      <c r="F7" s="45"/>
      <c r="G7" s="20" t="s">
        <v>404</v>
      </c>
      <c r="H7" s="20"/>
      <c r="I7" s="20"/>
      <c r="J7" s="20"/>
      <c r="K7" s="20"/>
      <c r="L7" s="45" t="s">
        <v>405</v>
      </c>
      <c r="M7" s="45"/>
      <c r="N7" s="45"/>
      <c r="O7" s="45"/>
      <c r="P7" s="45"/>
      <c r="Q7" s="45" t="s">
        <v>406</v>
      </c>
      <c r="R7" s="45"/>
      <c r="S7" s="45"/>
      <c r="T7" s="45"/>
      <c r="U7" s="45"/>
      <c r="V7" s="20" t="s">
        <v>67</v>
      </c>
      <c r="W7" s="20"/>
      <c r="X7" s="20"/>
      <c r="Y7" s="20"/>
      <c r="Z7" s="129"/>
    </row>
    <row r="8" ht="48" customHeight="1" spans="2:26">
      <c r="B8" s="25" t="s">
        <v>47</v>
      </c>
      <c r="C8" s="48">
        <v>1</v>
      </c>
      <c r="D8" s="68">
        <v>0</v>
      </c>
      <c r="E8" s="25" t="s">
        <v>48</v>
      </c>
      <c r="F8" s="69" t="str">
        <f>_xlfn.DISPIMG("ID_73550FB06D014938AA281F0CF418BA23",1)</f>
        <v>=DISPIMG("ID_73550FB06D014938AA281F0CF418BA23",1)</v>
      </c>
      <c r="G8" s="25" t="s">
        <v>47</v>
      </c>
      <c r="H8" s="48">
        <v>0</v>
      </c>
      <c r="I8" s="68">
        <v>1</v>
      </c>
      <c r="J8" s="25" t="s">
        <v>48</v>
      </c>
      <c r="K8" s="69" t="str">
        <f>_xlfn.DISPIMG("ID_73550FB06D014938AA281F0CF418BA23",1)</f>
        <v>=DISPIMG("ID_73550FB06D014938AA281F0CF418BA23",1)</v>
      </c>
      <c r="L8" s="25" t="s">
        <v>47</v>
      </c>
      <c r="M8" s="48">
        <v>1</v>
      </c>
      <c r="N8" s="68">
        <v>0</v>
      </c>
      <c r="O8" s="25" t="s">
        <v>48</v>
      </c>
      <c r="P8" s="69" t="s">
        <v>138</v>
      </c>
      <c r="Q8" s="25" t="s">
        <v>47</v>
      </c>
      <c r="R8" s="48">
        <v>1</v>
      </c>
      <c r="S8" s="68">
        <v>1</v>
      </c>
      <c r="T8" s="25" t="s">
        <v>48</v>
      </c>
      <c r="U8" s="69" t="s">
        <v>138</v>
      </c>
      <c r="V8" s="25" t="s">
        <v>50</v>
      </c>
      <c r="W8" s="121" t="s">
        <v>407</v>
      </c>
      <c r="X8" s="122"/>
      <c r="Y8" s="122"/>
      <c r="Z8" s="130"/>
    </row>
    <row r="9" ht="48" customHeight="1" spans="2:26">
      <c r="B9" s="25" t="s">
        <v>52</v>
      </c>
      <c r="C9" s="49">
        <v>5</v>
      </c>
      <c r="D9" s="70">
        <v>0</v>
      </c>
      <c r="E9" s="25" t="s">
        <v>55</v>
      </c>
      <c r="F9" s="69" t="s">
        <v>54</v>
      </c>
      <c r="G9" s="25" t="s">
        <v>52</v>
      </c>
      <c r="H9" s="49">
        <v>4</v>
      </c>
      <c r="I9" s="70">
        <v>0</v>
      </c>
      <c r="J9" s="25" t="s">
        <v>55</v>
      </c>
      <c r="K9" s="69" t="s">
        <v>69</v>
      </c>
      <c r="L9" s="25" t="s">
        <v>52</v>
      </c>
      <c r="M9" s="49">
        <v>6</v>
      </c>
      <c r="N9" s="70">
        <v>0</v>
      </c>
      <c r="O9" s="25" t="s">
        <v>55</v>
      </c>
      <c r="P9" s="69" t="str">
        <f>_xlfn.DISPIMG("ID_4DA85EF7DBBC423494A691E5A7349D9A",1)</f>
        <v>=DISPIMG("ID_4DA85EF7DBBC423494A691E5A7349D9A",1)</v>
      </c>
      <c r="Q9" s="25" t="s">
        <v>52</v>
      </c>
      <c r="R9" s="49">
        <v>10</v>
      </c>
      <c r="S9" s="70">
        <v>2</v>
      </c>
      <c r="T9" s="25" t="s">
        <v>55</v>
      </c>
      <c r="U9" s="69" t="str">
        <f>_xlfn.DISPIMG("ID_4D09369D8C254A39AC008E51A5813136",1)</f>
        <v>=DISPIMG("ID_4D09369D8C254A39AC008E51A5813136",1)</v>
      </c>
      <c r="V9" s="27" t="s">
        <v>56</v>
      </c>
      <c r="W9" s="301" t="s">
        <v>408</v>
      </c>
      <c r="X9" s="302"/>
      <c r="Y9" s="302"/>
      <c r="Z9" s="314"/>
    </row>
    <row r="10" ht="70" customHeight="1" spans="2:26">
      <c r="B10" s="99" t="s">
        <v>58</v>
      </c>
      <c r="C10" s="288" t="s">
        <v>409</v>
      </c>
      <c r="D10" s="288"/>
      <c r="E10" s="288"/>
      <c r="F10" s="288"/>
      <c r="G10" s="33" t="s">
        <v>58</v>
      </c>
      <c r="H10" s="225" t="s">
        <v>410</v>
      </c>
      <c r="I10" s="139"/>
      <c r="J10" s="139"/>
      <c r="K10" s="139"/>
      <c r="L10" s="99" t="s">
        <v>58</v>
      </c>
      <c r="M10" s="205" t="s">
        <v>411</v>
      </c>
      <c r="N10" s="283"/>
      <c r="O10" s="283"/>
      <c r="P10" s="283"/>
      <c r="Q10" s="99" t="s">
        <v>58</v>
      </c>
      <c r="R10" s="175" t="s">
        <v>412</v>
      </c>
      <c r="S10" s="101"/>
      <c r="T10" s="101"/>
      <c r="U10" s="101"/>
      <c r="V10" s="33"/>
      <c r="W10" s="303"/>
      <c r="X10" s="304"/>
      <c r="Y10" s="304"/>
      <c r="Z10" s="315"/>
    </row>
    <row r="11" ht="15" customHeight="1" spans="2:26">
      <c r="B11" s="35" t="s">
        <v>413</v>
      </c>
      <c r="C11" s="35"/>
      <c r="D11" s="35"/>
      <c r="E11" s="35"/>
      <c r="F11" s="35"/>
      <c r="G11" s="20" t="s">
        <v>414</v>
      </c>
      <c r="H11" s="20"/>
      <c r="I11" s="20"/>
      <c r="J11" s="20"/>
      <c r="K11" s="20"/>
      <c r="L11" s="35" t="s">
        <v>415</v>
      </c>
      <c r="M11" s="35"/>
      <c r="N11" s="35"/>
      <c r="O11" s="35"/>
      <c r="P11" s="35"/>
      <c r="Q11" s="35" t="s">
        <v>416</v>
      </c>
      <c r="R11" s="35"/>
      <c r="S11" s="35"/>
      <c r="T11" s="35"/>
      <c r="U11" s="35"/>
      <c r="V11" s="20" t="s">
        <v>79</v>
      </c>
      <c r="W11" s="20"/>
      <c r="X11" s="20"/>
      <c r="Y11" s="20"/>
      <c r="Z11" s="129"/>
    </row>
    <row r="12" ht="48" customHeight="1" spans="2:26">
      <c r="B12" s="25" t="s">
        <v>47</v>
      </c>
      <c r="C12" s="224">
        <v>1</v>
      </c>
      <c r="D12" s="68">
        <v>1</v>
      </c>
      <c r="E12" s="25" t="s">
        <v>48</v>
      </c>
      <c r="F12" s="69" t="str">
        <f>_xlfn.DISPIMG("ID_FCF9FE4B7C544D50897A75B2EDB1D3A2",1)</f>
        <v>=DISPIMG("ID_FCF9FE4B7C544D50897A75B2EDB1D3A2",1)</v>
      </c>
      <c r="G12" s="25" t="s">
        <v>47</v>
      </c>
      <c r="H12" s="48">
        <v>0</v>
      </c>
      <c r="I12" s="68">
        <v>1</v>
      </c>
      <c r="J12" s="25" t="s">
        <v>48</v>
      </c>
      <c r="K12" s="69" t="str">
        <f>_xlfn.DISPIMG("ID_AC6EBA99344C43179B94640CF550E68D",1)</f>
        <v>=DISPIMG("ID_AC6EBA99344C43179B94640CF550E68D",1)</v>
      </c>
      <c r="L12" s="25" t="s">
        <v>47</v>
      </c>
      <c r="M12" s="48">
        <v>1</v>
      </c>
      <c r="N12" s="68">
        <v>1</v>
      </c>
      <c r="O12" s="25" t="s">
        <v>48</v>
      </c>
      <c r="P12" s="69" t="s">
        <v>417</v>
      </c>
      <c r="Q12" s="25" t="s">
        <v>47</v>
      </c>
      <c r="R12" s="48">
        <v>0</v>
      </c>
      <c r="S12" s="68">
        <v>1</v>
      </c>
      <c r="T12" s="25" t="s">
        <v>48</v>
      </c>
      <c r="U12" s="69" t="s">
        <v>179</v>
      </c>
      <c r="V12" s="25" t="s">
        <v>50</v>
      </c>
      <c r="W12" s="121" t="s">
        <v>418</v>
      </c>
      <c r="X12" s="122"/>
      <c r="Y12" s="122"/>
      <c r="Z12" s="130"/>
    </row>
    <row r="13" ht="48" customHeight="1" spans="2:26">
      <c r="B13" s="25" t="s">
        <v>52</v>
      </c>
      <c r="C13" s="49">
        <v>10</v>
      </c>
      <c r="D13" s="70">
        <v>0</v>
      </c>
      <c r="E13" s="25" t="s">
        <v>55</v>
      </c>
      <c r="F13" s="69" t="s">
        <v>329</v>
      </c>
      <c r="G13" s="25" t="s">
        <v>52</v>
      </c>
      <c r="H13" s="49">
        <v>4</v>
      </c>
      <c r="I13" s="70">
        <v>0</v>
      </c>
      <c r="J13" s="25" t="s">
        <v>55</v>
      </c>
      <c r="K13" s="69" t="str">
        <f>_xlfn.DISPIMG("ID_4DA85EF7DBBC423494A691E5A7349D9A",1)</f>
        <v>=DISPIMG("ID_4DA85EF7DBBC423494A691E5A7349D9A",1)</v>
      </c>
      <c r="L13" s="25" t="s">
        <v>52</v>
      </c>
      <c r="M13" s="49">
        <v>8</v>
      </c>
      <c r="N13" s="70">
        <v>0</v>
      </c>
      <c r="O13" s="25" t="s">
        <v>55</v>
      </c>
      <c r="P13" s="69" t="s">
        <v>397</v>
      </c>
      <c r="Q13" s="25" t="s">
        <v>52</v>
      </c>
      <c r="R13" s="49">
        <v>5</v>
      </c>
      <c r="S13" s="70">
        <v>0</v>
      </c>
      <c r="T13" s="25" t="s">
        <v>55</v>
      </c>
      <c r="U13" s="69" t="s">
        <v>419</v>
      </c>
      <c r="V13" s="27" t="s">
        <v>56</v>
      </c>
      <c r="W13" s="305" t="s">
        <v>420</v>
      </c>
      <c r="X13" s="306"/>
      <c r="Y13" s="306"/>
      <c r="Z13" s="316"/>
    </row>
    <row r="14" ht="70" customHeight="1" spans="2:26">
      <c r="B14" s="33" t="s">
        <v>58</v>
      </c>
      <c r="C14" s="108" t="s">
        <v>421</v>
      </c>
      <c r="D14" s="289"/>
      <c r="E14" s="289"/>
      <c r="F14" s="289"/>
      <c r="G14" s="33" t="s">
        <v>58</v>
      </c>
      <c r="H14" s="290" t="s">
        <v>422</v>
      </c>
      <c r="I14" s="290"/>
      <c r="J14" s="290"/>
      <c r="K14" s="290"/>
      <c r="L14" s="33" t="s">
        <v>58</v>
      </c>
      <c r="M14" s="112" t="s">
        <v>423</v>
      </c>
      <c r="N14" s="108"/>
      <c r="O14" s="108"/>
      <c r="P14" s="108"/>
      <c r="Q14" s="33" t="s">
        <v>58</v>
      </c>
      <c r="R14" s="112" t="s">
        <v>424</v>
      </c>
      <c r="S14" s="157"/>
      <c r="T14" s="157"/>
      <c r="U14" s="157"/>
      <c r="V14" s="33"/>
      <c r="W14" s="307"/>
      <c r="X14" s="308"/>
      <c r="Y14" s="308"/>
      <c r="Z14" s="317"/>
    </row>
    <row r="15" ht="15" customHeight="1" spans="2:31">
      <c r="B15" s="45" t="s">
        <v>425</v>
      </c>
      <c r="C15" s="45"/>
      <c r="D15" s="45"/>
      <c r="E15" s="45"/>
      <c r="F15" s="45"/>
      <c r="G15" s="45" t="s">
        <v>426</v>
      </c>
      <c r="H15" s="45"/>
      <c r="I15" s="45"/>
      <c r="J15" s="45"/>
      <c r="K15" s="45"/>
      <c r="L15" s="45" t="s">
        <v>427</v>
      </c>
      <c r="M15" s="45"/>
      <c r="N15" s="45"/>
      <c r="O15" s="45"/>
      <c r="P15" s="45"/>
      <c r="Q15" s="45" t="s">
        <v>428</v>
      </c>
      <c r="R15" s="45"/>
      <c r="S15" s="45"/>
      <c r="T15" s="45"/>
      <c r="U15" s="45"/>
      <c r="V15" s="20" t="s">
        <v>94</v>
      </c>
      <c r="W15" s="20"/>
      <c r="X15" s="20"/>
      <c r="Y15" s="20"/>
      <c r="Z15" s="129"/>
      <c r="AA15" s="20" t="s">
        <v>94</v>
      </c>
      <c r="AB15" s="20"/>
      <c r="AC15" s="20"/>
      <c r="AD15" s="20"/>
      <c r="AE15" s="129"/>
    </row>
    <row r="16" ht="48" customHeight="1" spans="2:31">
      <c r="B16" s="25" t="s">
        <v>47</v>
      </c>
      <c r="C16" s="48">
        <v>1</v>
      </c>
      <c r="D16" s="68">
        <v>1</v>
      </c>
      <c r="E16" s="25" t="s">
        <v>48</v>
      </c>
      <c r="F16" s="69" t="str">
        <f>_xlfn.DISPIMG("ID_AC6EBA99344C43179B94640CF550E68D",1)</f>
        <v>=DISPIMG("ID_AC6EBA99344C43179B94640CF550E68D",1)</v>
      </c>
      <c r="G16" s="25" t="s">
        <v>47</v>
      </c>
      <c r="H16" s="48">
        <v>1</v>
      </c>
      <c r="I16" s="68">
        <v>1</v>
      </c>
      <c r="J16" s="25" t="s">
        <v>48</v>
      </c>
      <c r="K16" s="69" t="str">
        <f>_xlfn.DISPIMG("ID_AD63FF364B0D4B8CAACC6E325B4DE005",1)</f>
        <v>=DISPIMG("ID_AD63FF364B0D4B8CAACC6E325B4DE005",1)</v>
      </c>
      <c r="L16" s="25" t="s">
        <v>47</v>
      </c>
      <c r="M16" s="48">
        <v>1</v>
      </c>
      <c r="N16" s="68">
        <v>1</v>
      </c>
      <c r="O16" s="25" t="s">
        <v>48</v>
      </c>
      <c r="P16" s="69" t="str">
        <f>_xlfn.DISPIMG("ID_4D09369D8C254A39AC008E51A5813136",1)</f>
        <v>=DISPIMG("ID_4D09369D8C254A39AC008E51A5813136",1)</v>
      </c>
      <c r="Q16" s="25" t="s">
        <v>47</v>
      </c>
      <c r="R16" s="48">
        <v>1</v>
      </c>
      <c r="S16" s="68">
        <v>1</v>
      </c>
      <c r="T16" s="25" t="s">
        <v>48</v>
      </c>
      <c r="U16" s="69" t="s">
        <v>179</v>
      </c>
      <c r="V16" s="25" t="s">
        <v>50</v>
      </c>
      <c r="W16" s="216" t="s">
        <v>429</v>
      </c>
      <c r="X16" s="217"/>
      <c r="Y16" s="217"/>
      <c r="Z16" s="229"/>
      <c r="AA16" s="25" t="s">
        <v>50</v>
      </c>
      <c r="AB16" s="216" t="s">
        <v>430</v>
      </c>
      <c r="AC16" s="217"/>
      <c r="AD16" s="217"/>
      <c r="AE16" s="229"/>
    </row>
    <row r="17" ht="48" customHeight="1" spans="2:31">
      <c r="B17" s="25" t="s">
        <v>52</v>
      </c>
      <c r="C17" s="49">
        <v>12</v>
      </c>
      <c r="D17" s="70">
        <v>2</v>
      </c>
      <c r="E17" s="25" t="s">
        <v>55</v>
      </c>
      <c r="F17" s="69" t="str">
        <f>_xlfn.DISPIMG("ID_4D09369D8C254A39AC008E51A5813136",1)</f>
        <v>=DISPIMG("ID_4D09369D8C254A39AC008E51A5813136",1)</v>
      </c>
      <c r="G17" s="25" t="s">
        <v>52</v>
      </c>
      <c r="H17" s="49">
        <v>15</v>
      </c>
      <c r="I17" s="70">
        <v>2</v>
      </c>
      <c r="J17" s="25" t="s">
        <v>55</v>
      </c>
      <c r="K17" s="69" t="s">
        <v>431</v>
      </c>
      <c r="L17" s="25" t="s">
        <v>52</v>
      </c>
      <c r="M17" s="49">
        <v>9</v>
      </c>
      <c r="N17" s="70">
        <v>1</v>
      </c>
      <c r="O17" s="25" t="s">
        <v>55</v>
      </c>
      <c r="P17" s="69" t="s">
        <v>328</v>
      </c>
      <c r="Q17" s="25" t="s">
        <v>52</v>
      </c>
      <c r="R17" s="49">
        <v>18</v>
      </c>
      <c r="S17" s="70">
        <v>2</v>
      </c>
      <c r="T17" s="25" t="s">
        <v>55</v>
      </c>
      <c r="U17" s="69" t="str">
        <f>_xlfn.DISPIMG("ID_4D09369D8C254A39AC008E51A5813136",1)</f>
        <v>=DISPIMG("ID_4D09369D8C254A39AC008E51A5813136",1)</v>
      </c>
      <c r="V17" s="27" t="s">
        <v>56</v>
      </c>
      <c r="W17" s="309" t="s">
        <v>432</v>
      </c>
      <c r="X17" s="310"/>
      <c r="Y17" s="310"/>
      <c r="Z17" s="318"/>
      <c r="AA17" s="27" t="s">
        <v>56</v>
      </c>
      <c r="AB17" s="309" t="s">
        <v>433</v>
      </c>
      <c r="AC17" s="310"/>
      <c r="AD17" s="310"/>
      <c r="AE17" s="318"/>
    </row>
    <row r="18" ht="70" customHeight="1" spans="2:31">
      <c r="B18" s="54" t="s">
        <v>58</v>
      </c>
      <c r="C18" s="291" t="s">
        <v>434</v>
      </c>
      <c r="D18" s="178"/>
      <c r="E18" s="178"/>
      <c r="F18" s="178"/>
      <c r="G18" s="54" t="s">
        <v>58</v>
      </c>
      <c r="H18" s="292" t="s">
        <v>435</v>
      </c>
      <c r="I18" s="295"/>
      <c r="J18" s="295"/>
      <c r="K18" s="295"/>
      <c r="L18" s="54" t="s">
        <v>58</v>
      </c>
      <c r="M18" s="296" t="s">
        <v>436</v>
      </c>
      <c r="N18" s="152"/>
      <c r="O18" s="152"/>
      <c r="P18" s="152"/>
      <c r="Q18" s="54" t="s">
        <v>58</v>
      </c>
      <c r="R18" s="311" t="s">
        <v>437</v>
      </c>
      <c r="S18" s="245"/>
      <c r="T18" s="245"/>
      <c r="U18" s="245"/>
      <c r="V18" s="33"/>
      <c r="W18" s="312"/>
      <c r="X18" s="313"/>
      <c r="Y18" s="313"/>
      <c r="Z18" s="319"/>
      <c r="AA18" s="33"/>
      <c r="AB18" s="312"/>
      <c r="AC18" s="313"/>
      <c r="AD18" s="313"/>
      <c r="AE18" s="319"/>
    </row>
    <row r="47" spans="8:8">
      <c r="H47"/>
    </row>
  </sheetData>
  <sheetProtection selectLockedCells="1" formatCells="0" formatColumns="0" formatRows="0" insertRows="0" insertColumns="0" insertHyperlinks="0" deleteColumns="0" deleteRows="0" sort="0" autoFilter="0" pivotTables="0"/>
  <mergeCells count="57">
    <mergeCell ref="B1:F1"/>
    <mergeCell ref="G1:K1"/>
    <mergeCell ref="L1:P1"/>
    <mergeCell ref="Q1:U1"/>
    <mergeCell ref="V1:Z1"/>
    <mergeCell ref="B3:F3"/>
    <mergeCell ref="G3:K3"/>
    <mergeCell ref="L3:P3"/>
    <mergeCell ref="Q3:U3"/>
    <mergeCell ref="V3:Z3"/>
    <mergeCell ref="W4:Z4"/>
    <mergeCell ref="C6:F6"/>
    <mergeCell ref="H6:K6"/>
    <mergeCell ref="M6:P6"/>
    <mergeCell ref="R6:U6"/>
    <mergeCell ref="B7:F7"/>
    <mergeCell ref="G7:K7"/>
    <mergeCell ref="L7:P7"/>
    <mergeCell ref="Q7:U7"/>
    <mergeCell ref="V7:Z7"/>
    <mergeCell ref="W8:Z8"/>
    <mergeCell ref="C10:F10"/>
    <mergeCell ref="H10:K10"/>
    <mergeCell ref="M10:P10"/>
    <mergeCell ref="R10:U10"/>
    <mergeCell ref="B11:F11"/>
    <mergeCell ref="G11:K11"/>
    <mergeCell ref="L11:P11"/>
    <mergeCell ref="Q11:U11"/>
    <mergeCell ref="V11:Z11"/>
    <mergeCell ref="W12:Z12"/>
    <mergeCell ref="C14:F14"/>
    <mergeCell ref="H14:K14"/>
    <mergeCell ref="M14:P14"/>
    <mergeCell ref="R14:U14"/>
    <mergeCell ref="B15:F15"/>
    <mergeCell ref="G15:K15"/>
    <mergeCell ref="L15:P15"/>
    <mergeCell ref="Q15:U15"/>
    <mergeCell ref="V15:Z15"/>
    <mergeCell ref="AA15:AE15"/>
    <mergeCell ref="W16:Z16"/>
    <mergeCell ref="AB16:AE16"/>
    <mergeCell ref="C18:F18"/>
    <mergeCell ref="H18:K18"/>
    <mergeCell ref="M18:P18"/>
    <mergeCell ref="R18:U18"/>
    <mergeCell ref="V5:V6"/>
    <mergeCell ref="V9:V10"/>
    <mergeCell ref="V13:V14"/>
    <mergeCell ref="V17:V18"/>
    <mergeCell ref="AA17:AA18"/>
    <mergeCell ref="W5:Z6"/>
    <mergeCell ref="W9:Z10"/>
    <mergeCell ref="W13:Z14"/>
    <mergeCell ref="W17:Z18"/>
    <mergeCell ref="AB17:AE18"/>
  </mergeCells>
  <conditionalFormatting sqref="H4">
    <cfRule type="cellIs" dxfId="0" priority="4" operator="equal">
      <formula>0</formula>
    </cfRule>
  </conditionalFormatting>
  <conditionalFormatting sqref="I4">
    <cfRule type="cellIs" dxfId="0" priority="5" operator="equal">
      <formula>0</formula>
    </cfRule>
  </conditionalFormatting>
  <conditionalFormatting sqref="H8">
    <cfRule type="cellIs" dxfId="0" priority="1" operator="equal">
      <formula>0</formula>
    </cfRule>
  </conditionalFormatting>
  <conditionalFormatting sqref="I8">
    <cfRule type="cellIs" dxfId="0" priority="2" operator="equal">
      <formula>0</formula>
    </cfRule>
  </conditionalFormatting>
  <conditionalFormatting sqref="H12">
    <cfRule type="cellIs" dxfId="0" priority="7" operator="equal">
      <formula>0</formula>
    </cfRule>
  </conditionalFormatting>
  <conditionalFormatting sqref="I12">
    <cfRule type="cellIs" dxfId="0" priority="8" operator="equal">
      <formula>0</formula>
    </cfRule>
  </conditionalFormatting>
  <conditionalFormatting sqref="C4:D5 M16:N17 H16:I17 C16:D17 M12:N13 C12:D13 M8:N9 M4:N5 C8:D9">
    <cfRule type="cellIs" dxfId="1" priority="13" operator="equal">
      <formula>0</formula>
    </cfRule>
  </conditionalFormatting>
  <conditionalFormatting sqref="C4 R16 M16 H16 C16 R12 M12 C12 C8 M8 R8 R4 M4">
    <cfRule type="cellIs" dxfId="0" priority="10" operator="equal">
      <formula>0</formula>
    </cfRule>
  </conditionalFormatting>
  <conditionalFormatting sqref="D4 D16 I16 N16 S16 S12 N12 D12 D8 N8 S8 S4 N4">
    <cfRule type="cellIs" dxfId="0" priority="11" operator="equal">
      <formula>0</formula>
    </cfRule>
  </conditionalFormatting>
  <conditionalFormatting sqref="H4:I5">
    <cfRule type="cellIs" dxfId="1" priority="6" operator="equal">
      <formula>0</formula>
    </cfRule>
  </conditionalFormatting>
  <conditionalFormatting sqref="R4:S5 R16:S17 R12:S13 R8:S9">
    <cfRule type="cellIs" dxfId="1" priority="12" operator="equal">
      <formula>0</formula>
    </cfRule>
  </conditionalFormatting>
  <conditionalFormatting sqref="H8:I9">
    <cfRule type="cellIs" dxfId="1" priority="3" operator="equal">
      <formula>0</formula>
    </cfRule>
  </conditionalFormatting>
  <conditionalFormatting sqref="H12:I13">
    <cfRule type="cellIs" dxfId="1" priority="9" operator="equal">
      <formula>0</formula>
    </cfRule>
  </conditionalFormatting>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B1:AE47"/>
  <sheetViews>
    <sheetView showGridLines="0" zoomScale="70" zoomScaleNormal="70" workbookViewId="0">
      <selection activeCell="U12" sqref="U12"/>
    </sheetView>
  </sheetViews>
  <sheetFormatPr defaultColWidth="8.89090909090909" defaultRowHeight="16.5"/>
  <cols>
    <col min="1" max="1" width="8.89090909090909" style="11"/>
    <col min="2" max="2" width="5.78181818181818" style="11" customWidth="1"/>
    <col min="3" max="4" width="8.78181818181818" style="11" customWidth="1"/>
    <col min="5" max="5" width="5.78181818181818" style="11" customWidth="1"/>
    <col min="6" max="6" width="14.7818181818182" style="11" customWidth="1"/>
    <col min="7" max="7" width="5.78181818181818" style="11" customWidth="1"/>
    <col min="8" max="9" width="8.78181818181818" style="11" customWidth="1"/>
    <col min="10" max="10" width="5.78181818181818" style="11" customWidth="1"/>
    <col min="11" max="11" width="14.7818181818182" style="11" customWidth="1"/>
    <col min="12" max="12" width="5.78181818181818" style="11" customWidth="1"/>
    <col min="13" max="14" width="8.78181818181818" style="11" customWidth="1"/>
    <col min="15" max="15" width="5.78181818181818" style="11" customWidth="1"/>
    <col min="16" max="16" width="14.7818181818182" style="11" customWidth="1"/>
    <col min="17" max="17" width="5.78181818181818" style="11" customWidth="1"/>
    <col min="18" max="19" width="8.78181818181818" style="11" customWidth="1"/>
    <col min="20" max="20" width="5.78181818181818" style="11" customWidth="1"/>
    <col min="21" max="21" width="14.7818181818182" style="11" customWidth="1"/>
    <col min="22" max="22" width="5.70909090909091" style="11" customWidth="1"/>
    <col min="23" max="24" width="8.89090909090909" style="11"/>
    <col min="25" max="25" width="6.66363636363636" style="11" customWidth="1"/>
    <col min="26" max="26" width="13.8545454545455" style="11" customWidth="1"/>
    <col min="27" max="27" width="5.79090909090909" style="11" customWidth="1"/>
    <col min="28" max="29" width="8.89090909090909" style="11"/>
    <col min="30" max="30" width="5.79090909090909" style="11" customWidth="1"/>
    <col min="31" max="31" width="14.7818181818182" style="11" customWidth="1"/>
    <col min="32" max="16384" width="8.89090909090909" style="11"/>
  </cols>
  <sheetData>
    <row r="1" ht="61" customHeight="1" spans="2:26">
      <c r="B1" s="92" t="s">
        <v>438</v>
      </c>
      <c r="C1" s="93"/>
      <c r="D1" s="93"/>
      <c r="E1" s="93"/>
      <c r="F1" s="93"/>
      <c r="G1" s="94" t="s">
        <v>439</v>
      </c>
      <c r="H1" s="95"/>
      <c r="I1" s="95"/>
      <c r="J1" s="95"/>
      <c r="K1" s="95"/>
      <c r="L1" s="106"/>
      <c r="M1" s="16"/>
      <c r="N1" s="16"/>
      <c r="O1" s="16"/>
      <c r="P1" s="16"/>
      <c r="Q1" s="106"/>
      <c r="R1" s="16"/>
      <c r="S1" s="16"/>
      <c r="T1" s="16"/>
      <c r="U1" s="16"/>
      <c r="V1" s="113" t="s">
        <v>174</v>
      </c>
      <c r="W1" s="114"/>
      <c r="X1" s="114"/>
      <c r="Y1" s="114"/>
      <c r="Z1" s="114"/>
    </row>
    <row r="2" ht="12" customHeight="1" spans="2:21">
      <c r="B2" s="96"/>
      <c r="C2" s="18"/>
      <c r="D2" s="18"/>
      <c r="E2" s="18"/>
      <c r="F2" s="18"/>
      <c r="G2" s="96"/>
      <c r="H2" s="18"/>
      <c r="I2" s="18"/>
      <c r="J2" s="18"/>
      <c r="K2" s="18"/>
      <c r="L2" s="96"/>
      <c r="M2" s="18"/>
      <c r="N2" s="18"/>
      <c r="O2" s="18"/>
      <c r="P2" s="18"/>
      <c r="Q2" s="96"/>
      <c r="R2" s="18"/>
      <c r="S2" s="18"/>
      <c r="T2" s="18"/>
      <c r="U2" s="18"/>
    </row>
    <row r="3" ht="15" customHeight="1" spans="2:26">
      <c r="B3" s="20" t="s">
        <v>440</v>
      </c>
      <c r="C3" s="20"/>
      <c r="D3" s="20"/>
      <c r="E3" s="20"/>
      <c r="F3" s="20"/>
      <c r="G3" s="20" t="s">
        <v>441</v>
      </c>
      <c r="H3" s="20"/>
      <c r="I3" s="20"/>
      <c r="J3" s="20"/>
      <c r="K3" s="20"/>
      <c r="L3" s="20" t="s">
        <v>442</v>
      </c>
      <c r="M3" s="20"/>
      <c r="N3" s="20"/>
      <c r="O3" s="20"/>
      <c r="P3" s="20"/>
      <c r="Q3" s="20" t="s">
        <v>443</v>
      </c>
      <c r="R3" s="20"/>
      <c r="S3" s="20"/>
      <c r="T3" s="20"/>
      <c r="U3" s="20"/>
      <c r="V3" s="20" t="s">
        <v>46</v>
      </c>
      <c r="W3" s="20"/>
      <c r="X3" s="20"/>
      <c r="Y3" s="20"/>
      <c r="Z3" s="128"/>
    </row>
    <row r="4" ht="48" customHeight="1" spans="2:26">
      <c r="B4" s="25" t="s">
        <v>47</v>
      </c>
      <c r="C4" s="48">
        <v>0</v>
      </c>
      <c r="D4" s="68">
        <v>1</v>
      </c>
      <c r="E4" s="25" t="s">
        <v>48</v>
      </c>
      <c r="F4" s="69" t="s">
        <v>49</v>
      </c>
      <c r="G4" s="25" t="s">
        <v>47</v>
      </c>
      <c r="H4" s="48">
        <v>0</v>
      </c>
      <c r="I4" s="68">
        <v>1</v>
      </c>
      <c r="J4" s="25" t="s">
        <v>48</v>
      </c>
      <c r="K4" s="69" t="s">
        <v>49</v>
      </c>
      <c r="L4" s="25" t="s">
        <v>47</v>
      </c>
      <c r="M4" s="48">
        <v>1</v>
      </c>
      <c r="N4" s="68">
        <v>0</v>
      </c>
      <c r="O4" s="25" t="s">
        <v>48</v>
      </c>
      <c r="P4" s="69" t="str">
        <f>_xlfn.DISPIMG("ID_1B32C14E9F9C4B27B3DB7816969A0039",1)</f>
        <v>=DISPIMG("ID_1B32C14E9F9C4B27B3DB7816969A0039",1)</v>
      </c>
      <c r="Q4" s="25" t="s">
        <v>47</v>
      </c>
      <c r="R4" s="48">
        <v>0</v>
      </c>
      <c r="S4" s="68">
        <v>0</v>
      </c>
      <c r="T4" s="25" t="s">
        <v>48</v>
      </c>
      <c r="U4" s="69" t="s">
        <v>138</v>
      </c>
      <c r="V4" s="25" t="s">
        <v>50</v>
      </c>
      <c r="W4" s="274" t="s">
        <v>444</v>
      </c>
      <c r="X4" s="275"/>
      <c r="Y4" s="275"/>
      <c r="Z4" s="275"/>
    </row>
    <row r="5" ht="48" customHeight="1" spans="2:26">
      <c r="B5" s="25" t="s">
        <v>52</v>
      </c>
      <c r="C5" s="49">
        <v>1</v>
      </c>
      <c r="D5" s="70">
        <v>0</v>
      </c>
      <c r="E5" s="25" t="s">
        <v>53</v>
      </c>
      <c r="F5" s="69" t="s">
        <v>54</v>
      </c>
      <c r="G5" s="25" t="s">
        <v>52</v>
      </c>
      <c r="H5" s="49">
        <v>3</v>
      </c>
      <c r="I5" s="70">
        <v>0</v>
      </c>
      <c r="J5" s="25" t="s">
        <v>55</v>
      </c>
      <c r="K5" s="69" t="s">
        <v>69</v>
      </c>
      <c r="L5" s="25" t="s">
        <v>52</v>
      </c>
      <c r="M5" s="49">
        <v>1</v>
      </c>
      <c r="N5" s="70">
        <v>0</v>
      </c>
      <c r="O5" s="25" t="s">
        <v>55</v>
      </c>
      <c r="P5" s="69" t="s">
        <v>54</v>
      </c>
      <c r="Q5" s="25" t="s">
        <v>52</v>
      </c>
      <c r="R5" s="49">
        <v>6</v>
      </c>
      <c r="S5" s="70">
        <v>1</v>
      </c>
      <c r="T5" s="25" t="s">
        <v>55</v>
      </c>
      <c r="U5" s="69" t="s">
        <v>138</v>
      </c>
      <c r="V5" s="27" t="s">
        <v>56</v>
      </c>
      <c r="W5" s="276" t="s">
        <v>445</v>
      </c>
      <c r="X5" s="277"/>
      <c r="Y5" s="277"/>
      <c r="Z5" s="277"/>
    </row>
    <row r="6" ht="70" customHeight="1" spans="2:26">
      <c r="B6" s="33" t="s">
        <v>58</v>
      </c>
      <c r="C6" s="98" t="s">
        <v>446</v>
      </c>
      <c r="D6" s="98"/>
      <c r="E6" s="98"/>
      <c r="F6" s="98"/>
      <c r="G6" s="33" t="s">
        <v>58</v>
      </c>
      <c r="H6" s="112" t="s">
        <v>447</v>
      </c>
      <c r="I6" s="98"/>
      <c r="J6" s="98"/>
      <c r="K6" s="98"/>
      <c r="L6" s="33" t="s">
        <v>58</v>
      </c>
      <c r="M6" s="156" t="s">
        <v>448</v>
      </c>
      <c r="N6" s="97"/>
      <c r="O6" s="97"/>
      <c r="P6" s="97"/>
      <c r="Q6" s="33" t="s">
        <v>58</v>
      </c>
      <c r="R6" s="278" t="s">
        <v>449</v>
      </c>
      <c r="S6" s="279"/>
      <c r="T6" s="279"/>
      <c r="U6" s="279"/>
      <c r="V6" s="33"/>
      <c r="W6" s="280"/>
      <c r="X6" s="281"/>
      <c r="Y6" s="281"/>
      <c r="Z6" s="281"/>
    </row>
    <row r="7" ht="15" customHeight="1" spans="2:26">
      <c r="B7" s="20" t="s">
        <v>450</v>
      </c>
      <c r="C7" s="20"/>
      <c r="D7" s="20"/>
      <c r="E7" s="20"/>
      <c r="F7" s="20"/>
      <c r="G7" s="45" t="s">
        <v>451</v>
      </c>
      <c r="H7" s="45"/>
      <c r="I7" s="45"/>
      <c r="J7" s="45"/>
      <c r="K7" s="45"/>
      <c r="L7" s="35" t="s">
        <v>452</v>
      </c>
      <c r="M7" s="35"/>
      <c r="N7" s="35"/>
      <c r="O7" s="35"/>
      <c r="P7" s="35"/>
      <c r="Q7" s="45" t="s">
        <v>453</v>
      </c>
      <c r="R7" s="45"/>
      <c r="S7" s="45"/>
      <c r="T7" s="45"/>
      <c r="U7" s="45"/>
      <c r="V7" s="20" t="s">
        <v>67</v>
      </c>
      <c r="W7" s="20"/>
      <c r="X7" s="20"/>
      <c r="Y7" s="20"/>
      <c r="Z7" s="129"/>
    </row>
    <row r="8" ht="48" customHeight="1" spans="2:26">
      <c r="B8" s="25" t="s">
        <v>47</v>
      </c>
      <c r="C8" s="48">
        <v>1</v>
      </c>
      <c r="D8" s="68">
        <v>0</v>
      </c>
      <c r="E8" s="25" t="s">
        <v>48</v>
      </c>
      <c r="F8" s="69" t="str">
        <f>_xlfn.DISPIMG("ID_40C0CF1C9E304AD39D41100E3C91254C",1)</f>
        <v>=DISPIMG("ID_40C0CF1C9E304AD39D41100E3C91254C",1)</v>
      </c>
      <c r="G8" s="25" t="s">
        <v>47</v>
      </c>
      <c r="H8" s="48">
        <v>0</v>
      </c>
      <c r="I8" s="68">
        <v>1</v>
      </c>
      <c r="J8" s="25" t="s">
        <v>48</v>
      </c>
      <c r="K8" s="69" t="s">
        <v>49</v>
      </c>
      <c r="L8" s="25" t="s">
        <v>47</v>
      </c>
      <c r="M8" s="48">
        <v>1</v>
      </c>
      <c r="N8" s="68">
        <v>0</v>
      </c>
      <c r="O8" s="25" t="s">
        <v>48</v>
      </c>
      <c r="P8" s="69" t="s">
        <v>81</v>
      </c>
      <c r="Q8" s="25" t="s">
        <v>47</v>
      </c>
      <c r="R8" s="48">
        <v>1</v>
      </c>
      <c r="S8" s="68">
        <v>0</v>
      </c>
      <c r="T8" s="25" t="s">
        <v>48</v>
      </c>
      <c r="U8" s="69" t="str">
        <f>_xlfn.DISPIMG("ID_95BDDFAFD3144E6CB47CF1022FDAD269",1)</f>
        <v>=DISPIMG("ID_95BDDFAFD3144E6CB47CF1022FDAD269",1)</v>
      </c>
      <c r="V8" s="25" t="s">
        <v>50</v>
      </c>
      <c r="W8" s="121" t="s">
        <v>454</v>
      </c>
      <c r="X8" s="122"/>
      <c r="Y8" s="122"/>
      <c r="Z8" s="130"/>
    </row>
    <row r="9" ht="48" customHeight="1" spans="2:26">
      <c r="B9" s="25" t="s">
        <v>52</v>
      </c>
      <c r="C9" s="49">
        <v>4</v>
      </c>
      <c r="D9" s="70">
        <v>0</v>
      </c>
      <c r="E9" s="25" t="s">
        <v>55</v>
      </c>
      <c r="F9" s="69" t="s">
        <v>84</v>
      </c>
      <c r="G9" s="25" t="s">
        <v>52</v>
      </c>
      <c r="H9" s="49">
        <v>4</v>
      </c>
      <c r="I9" s="70">
        <v>0</v>
      </c>
      <c r="J9" s="25" t="s">
        <v>55</v>
      </c>
      <c r="K9" s="69" t="s">
        <v>455</v>
      </c>
      <c r="L9" s="25" t="s">
        <v>52</v>
      </c>
      <c r="M9" s="49">
        <v>4</v>
      </c>
      <c r="N9" s="70">
        <v>0</v>
      </c>
      <c r="O9" s="25" t="s">
        <v>55</v>
      </c>
      <c r="P9" s="69" t="s">
        <v>456</v>
      </c>
      <c r="Q9" s="25" t="s">
        <v>52</v>
      </c>
      <c r="R9" s="49">
        <v>5</v>
      </c>
      <c r="S9" s="70">
        <v>1</v>
      </c>
      <c r="T9" s="25" t="s">
        <v>55</v>
      </c>
      <c r="U9" s="69" t="s">
        <v>84</v>
      </c>
      <c r="V9" s="27" t="s">
        <v>56</v>
      </c>
      <c r="W9" s="282" t="s">
        <v>457</v>
      </c>
      <c r="X9" s="211"/>
      <c r="Y9" s="211"/>
      <c r="Z9" s="227"/>
    </row>
    <row r="10" ht="70" customHeight="1" spans="2:26">
      <c r="B10" s="33" t="s">
        <v>58</v>
      </c>
      <c r="C10" s="251" t="s">
        <v>458</v>
      </c>
      <c r="D10" s="144"/>
      <c r="E10" s="144"/>
      <c r="F10" s="144"/>
      <c r="G10" s="99" t="s">
        <v>58</v>
      </c>
      <c r="H10" s="252" t="s">
        <v>459</v>
      </c>
      <c r="I10" s="273"/>
      <c r="J10" s="273"/>
      <c r="K10" s="273"/>
      <c r="L10" s="33" t="s">
        <v>58</v>
      </c>
      <c r="M10" s="156" t="s">
        <v>460</v>
      </c>
      <c r="N10" s="104"/>
      <c r="O10" s="104"/>
      <c r="P10" s="104"/>
      <c r="Q10" s="99" t="s">
        <v>58</v>
      </c>
      <c r="R10" s="145" t="s">
        <v>461</v>
      </c>
      <c r="S10" s="283"/>
      <c r="T10" s="283"/>
      <c r="U10" s="283"/>
      <c r="V10" s="33"/>
      <c r="W10" s="212"/>
      <c r="X10" s="213"/>
      <c r="Y10" s="213"/>
      <c r="Z10" s="228"/>
    </row>
    <row r="11" ht="15" customHeight="1" spans="2:31">
      <c r="B11" s="35" t="s">
        <v>462</v>
      </c>
      <c r="C11" s="35"/>
      <c r="D11" s="35"/>
      <c r="E11" s="35"/>
      <c r="F11" s="35"/>
      <c r="G11" s="45" t="s">
        <v>463</v>
      </c>
      <c r="H11" s="45"/>
      <c r="I11" s="45"/>
      <c r="J11" s="45"/>
      <c r="K11" s="45"/>
      <c r="L11" s="35" t="s">
        <v>464</v>
      </c>
      <c r="M11" s="35"/>
      <c r="N11" s="35"/>
      <c r="O11" s="35"/>
      <c r="P11" s="35"/>
      <c r="Q11" s="45" t="s">
        <v>465</v>
      </c>
      <c r="R11" s="45"/>
      <c r="S11" s="45"/>
      <c r="T11" s="45"/>
      <c r="U11" s="45"/>
      <c r="V11" s="20" t="s">
        <v>79</v>
      </c>
      <c r="W11" s="20"/>
      <c r="X11" s="20"/>
      <c r="Y11" s="20"/>
      <c r="Z11" s="129"/>
      <c r="AA11" s="35" t="s">
        <v>466</v>
      </c>
      <c r="AB11" s="35"/>
      <c r="AC11" s="35"/>
      <c r="AD11" s="35"/>
      <c r="AE11" s="35"/>
    </row>
    <row r="12" ht="48" customHeight="1" spans="2:31">
      <c r="B12" s="25" t="s">
        <v>47</v>
      </c>
      <c r="C12" s="48">
        <v>1</v>
      </c>
      <c r="D12" s="68">
        <v>0</v>
      </c>
      <c r="E12" s="25" t="s">
        <v>48</v>
      </c>
      <c r="F12" s="69" t="str">
        <f>_xlfn.DISPIMG("ID_F7AD6FBB1CC54AECBDFCDBFA6BE6CA38",1)</f>
        <v>=DISPIMG("ID_F7AD6FBB1CC54AECBDFCDBFA6BE6CA38",1)</v>
      </c>
      <c r="G12" s="25" t="s">
        <v>47</v>
      </c>
      <c r="H12" s="48">
        <v>1</v>
      </c>
      <c r="I12" s="68">
        <v>1</v>
      </c>
      <c r="J12" s="25" t="s">
        <v>48</v>
      </c>
      <c r="K12" s="69" t="s">
        <v>123</v>
      </c>
      <c r="L12" s="25" t="s">
        <v>47</v>
      </c>
      <c r="M12" s="48">
        <v>1</v>
      </c>
      <c r="N12" s="68">
        <v>0</v>
      </c>
      <c r="O12" s="25" t="s">
        <v>48</v>
      </c>
      <c r="P12" s="69" t="s">
        <v>81</v>
      </c>
      <c r="Q12" s="25" t="s">
        <v>47</v>
      </c>
      <c r="R12" s="48">
        <v>1</v>
      </c>
      <c r="S12" s="68">
        <v>1</v>
      </c>
      <c r="T12" s="25" t="s">
        <v>48</v>
      </c>
      <c r="U12" s="69" t="s">
        <v>123</v>
      </c>
      <c r="V12" s="25" t="s">
        <v>50</v>
      </c>
      <c r="W12" s="121" t="s">
        <v>467</v>
      </c>
      <c r="X12" s="122"/>
      <c r="Y12" s="122"/>
      <c r="Z12" s="130"/>
      <c r="AA12" s="25" t="s">
        <v>47</v>
      </c>
      <c r="AB12" s="48">
        <v>1</v>
      </c>
      <c r="AC12" s="68">
        <v>1</v>
      </c>
      <c r="AD12" s="25" t="s">
        <v>48</v>
      </c>
      <c r="AE12" s="69" t="str">
        <f>_xlfn.DISPIMG("ID_386A33E0F9634CCB9F6901D3FAF32E8A",1)</f>
        <v>=DISPIMG("ID_386A33E0F9634CCB9F6901D3FAF32E8A",1)</v>
      </c>
    </row>
    <row r="13" ht="48" customHeight="1" spans="2:31">
      <c r="B13" s="25" t="s">
        <v>52</v>
      </c>
      <c r="C13" s="49">
        <v>5</v>
      </c>
      <c r="D13" s="70">
        <v>0</v>
      </c>
      <c r="E13" s="25" t="s">
        <v>55</v>
      </c>
      <c r="F13" s="69" t="str">
        <f>_xlfn.DISPIMG("ID_4DA85EF7DBBC423494A691E5A7349D9A",1)</f>
        <v>=DISPIMG("ID_4DA85EF7DBBC423494A691E5A7349D9A",1)</v>
      </c>
      <c r="G13" s="25" t="s">
        <v>52</v>
      </c>
      <c r="H13" s="49">
        <v>5</v>
      </c>
      <c r="I13" s="70">
        <v>0</v>
      </c>
      <c r="J13" s="25" t="s">
        <v>55</v>
      </c>
      <c r="K13" s="69" t="s">
        <v>69</v>
      </c>
      <c r="L13" s="25" t="s">
        <v>52</v>
      </c>
      <c r="M13" s="49">
        <v>4</v>
      </c>
      <c r="N13" s="70">
        <v>0</v>
      </c>
      <c r="O13" s="25" t="s">
        <v>55</v>
      </c>
      <c r="P13" s="69" t="s">
        <v>468</v>
      </c>
      <c r="Q13" s="25" t="s">
        <v>52</v>
      </c>
      <c r="R13" s="49">
        <v>0</v>
      </c>
      <c r="S13" s="70">
        <v>1</v>
      </c>
      <c r="T13" s="25" t="s">
        <v>55</v>
      </c>
      <c r="U13" s="69" t="s">
        <v>469</v>
      </c>
      <c r="V13" s="27" t="s">
        <v>56</v>
      </c>
      <c r="W13" s="282" t="s">
        <v>470</v>
      </c>
      <c r="X13" s="211"/>
      <c r="Y13" s="211"/>
      <c r="Z13" s="227"/>
      <c r="AA13" s="25" t="s">
        <v>52</v>
      </c>
      <c r="AB13" s="49">
        <v>6</v>
      </c>
      <c r="AC13" s="70">
        <v>1</v>
      </c>
      <c r="AD13" s="25" t="s">
        <v>55</v>
      </c>
      <c r="AE13" s="69" t="s">
        <v>84</v>
      </c>
    </row>
    <row r="14" ht="70" customHeight="1" spans="2:31">
      <c r="B14" s="33" t="s">
        <v>58</v>
      </c>
      <c r="C14" s="253" t="s">
        <v>471</v>
      </c>
      <c r="D14" s="254"/>
      <c r="E14" s="254"/>
      <c r="F14" s="254"/>
      <c r="G14" s="33" t="s">
        <v>58</v>
      </c>
      <c r="H14" s="225" t="s">
        <v>472</v>
      </c>
      <c r="I14" s="97"/>
      <c r="J14" s="97"/>
      <c r="K14" s="97"/>
      <c r="L14" s="33" t="s">
        <v>58</v>
      </c>
      <c r="M14" s="157" t="s">
        <v>473</v>
      </c>
      <c r="N14" s="112"/>
      <c r="O14" s="112"/>
      <c r="P14" s="112"/>
      <c r="Q14" s="99" t="s">
        <v>58</v>
      </c>
      <c r="R14" s="145" t="s">
        <v>474</v>
      </c>
      <c r="S14" s="145"/>
      <c r="T14" s="145"/>
      <c r="U14" s="145"/>
      <c r="V14" s="33"/>
      <c r="W14" s="212"/>
      <c r="X14" s="213"/>
      <c r="Y14" s="213"/>
      <c r="Z14" s="228"/>
      <c r="AA14" s="33" t="s">
        <v>58</v>
      </c>
      <c r="AB14" s="244" t="s">
        <v>475</v>
      </c>
      <c r="AC14" s="176"/>
      <c r="AD14" s="176"/>
      <c r="AE14" s="176"/>
    </row>
    <row r="15" ht="15" customHeight="1" spans="2:26">
      <c r="B15" s="20" t="s">
        <v>94</v>
      </c>
      <c r="C15" s="20"/>
      <c r="D15" s="20"/>
      <c r="E15" s="20"/>
      <c r="F15" s="129"/>
      <c r="G15" s="45" t="s">
        <v>476</v>
      </c>
      <c r="H15" s="45"/>
      <c r="I15" s="45"/>
      <c r="J15" s="45"/>
      <c r="K15" s="45"/>
      <c r="L15" s="45" t="s">
        <v>477</v>
      </c>
      <c r="M15" s="45"/>
      <c r="N15" s="45"/>
      <c r="O15" s="45"/>
      <c r="P15" s="45"/>
      <c r="Q15" s="45" t="s">
        <v>478</v>
      </c>
      <c r="R15" s="45"/>
      <c r="S15" s="45"/>
      <c r="T15" s="45"/>
      <c r="U15" s="45"/>
      <c r="V15" s="20" t="s">
        <v>94</v>
      </c>
      <c r="W15" s="20"/>
      <c r="X15" s="20"/>
      <c r="Y15" s="20"/>
      <c r="Z15" s="129"/>
    </row>
    <row r="16" ht="48" customHeight="1" spans="2:26">
      <c r="B16" s="25" t="s">
        <v>50</v>
      </c>
      <c r="C16" s="121" t="s">
        <v>479</v>
      </c>
      <c r="D16" s="122"/>
      <c r="E16" s="122"/>
      <c r="F16" s="130"/>
      <c r="G16" s="25" t="s">
        <v>47</v>
      </c>
      <c r="H16" s="48">
        <v>0</v>
      </c>
      <c r="I16" s="68">
        <v>1</v>
      </c>
      <c r="J16" s="25" t="s">
        <v>48</v>
      </c>
      <c r="K16" s="69" t="s">
        <v>179</v>
      </c>
      <c r="L16" s="25" t="s">
        <v>47</v>
      </c>
      <c r="M16" s="48">
        <v>1</v>
      </c>
      <c r="N16" s="68">
        <v>1</v>
      </c>
      <c r="O16" s="25" t="s">
        <v>48</v>
      </c>
      <c r="P16" s="69" t="s">
        <v>179</v>
      </c>
      <c r="Q16" s="25" t="s">
        <v>47</v>
      </c>
      <c r="R16" s="48">
        <v>0</v>
      </c>
      <c r="S16" s="68">
        <v>0</v>
      </c>
      <c r="T16" s="25" t="s">
        <v>48</v>
      </c>
      <c r="U16" s="69" t="s">
        <v>138</v>
      </c>
      <c r="V16" s="25" t="s">
        <v>50</v>
      </c>
      <c r="W16" s="162" t="s">
        <v>480</v>
      </c>
      <c r="X16" s="163"/>
      <c r="Y16" s="163"/>
      <c r="Z16" s="172"/>
    </row>
    <row r="17" ht="48" customHeight="1" spans="2:26">
      <c r="B17" s="27" t="s">
        <v>56</v>
      </c>
      <c r="C17" s="123" t="s">
        <v>481</v>
      </c>
      <c r="D17" s="159"/>
      <c r="E17" s="159"/>
      <c r="F17" s="170"/>
      <c r="G17" s="25" t="s">
        <v>52</v>
      </c>
      <c r="H17" s="49">
        <v>6</v>
      </c>
      <c r="I17" s="70">
        <v>1</v>
      </c>
      <c r="J17" s="25" t="s">
        <v>55</v>
      </c>
      <c r="K17" s="69" t="s">
        <v>482</v>
      </c>
      <c r="L17" s="25" t="s">
        <v>52</v>
      </c>
      <c r="M17" s="49">
        <v>12</v>
      </c>
      <c r="N17" s="70">
        <v>2</v>
      </c>
      <c r="O17" s="25" t="s">
        <v>55</v>
      </c>
      <c r="P17" s="69" t="s">
        <v>483</v>
      </c>
      <c r="Q17" s="25" t="s">
        <v>52</v>
      </c>
      <c r="R17" s="49">
        <v>6</v>
      </c>
      <c r="S17" s="70">
        <v>1</v>
      </c>
      <c r="T17" s="25" t="s">
        <v>55</v>
      </c>
      <c r="U17" s="69" t="s">
        <v>138</v>
      </c>
      <c r="V17" s="27" t="s">
        <v>56</v>
      </c>
      <c r="W17" s="164" t="s">
        <v>484</v>
      </c>
      <c r="X17" s="165"/>
      <c r="Y17" s="165"/>
      <c r="Z17" s="173"/>
    </row>
    <row r="18" ht="70" customHeight="1" spans="2:26">
      <c r="B18" s="54"/>
      <c r="C18" s="160"/>
      <c r="D18" s="161"/>
      <c r="E18" s="161"/>
      <c r="F18" s="171"/>
      <c r="G18" s="54" t="s">
        <v>58</v>
      </c>
      <c r="H18" s="153" t="s">
        <v>485</v>
      </c>
      <c r="I18" s="105"/>
      <c r="J18" s="105"/>
      <c r="K18" s="105"/>
      <c r="L18" s="54" t="s">
        <v>58</v>
      </c>
      <c r="M18" s="167" t="s">
        <v>486</v>
      </c>
      <c r="N18" s="55"/>
      <c r="O18" s="55"/>
      <c r="P18" s="55"/>
      <c r="Q18" s="54" t="s">
        <v>58</v>
      </c>
      <c r="R18" s="237" t="s">
        <v>487</v>
      </c>
      <c r="S18" s="237"/>
      <c r="T18" s="237"/>
      <c r="U18" s="237"/>
      <c r="V18" s="54"/>
      <c r="W18" s="284"/>
      <c r="X18" s="285"/>
      <c r="Y18" s="285"/>
      <c r="Z18" s="286"/>
    </row>
    <row r="19" spans="3:12">
      <c r="C19" s="180" t="s">
        <v>482</v>
      </c>
      <c r="D19" s="181" t="s">
        <v>104</v>
      </c>
      <c r="E19" s="181" t="s">
        <v>105</v>
      </c>
      <c r="F19" s="181"/>
      <c r="G19" s="181"/>
      <c r="H19" s="180" t="s">
        <v>488</v>
      </c>
      <c r="I19" s="181" t="s">
        <v>104</v>
      </c>
      <c r="J19" s="181" t="s">
        <v>170</v>
      </c>
      <c r="K19" s="181"/>
      <c r="L19" s="181"/>
    </row>
    <row r="20" spans="3:12">
      <c r="C20" s="182" t="str">
        <f>_xlfn.DISPIMG("ID_93F3FB644C0745119C79A8F3FA48C434",1)</f>
        <v>=DISPIMG("ID_93F3FB644C0745119C79A8F3FA48C434",1)</v>
      </c>
      <c r="D20" s="255" t="s">
        <v>489</v>
      </c>
      <c r="E20" s="256"/>
      <c r="F20" s="257" t="str">
        <f>_xlfn.DISPIMG("ID_2C838D56930647D499947BDBEBC93998",1)</f>
        <v>=DISPIMG("ID_2C838D56930647D499947BDBEBC93998",1)</v>
      </c>
      <c r="G20" s="258"/>
      <c r="H20" s="182"/>
      <c r="I20" s="255" t="s">
        <v>108</v>
      </c>
      <c r="J20" s="256"/>
      <c r="K20" s="257"/>
      <c r="L20" s="258"/>
    </row>
    <row r="21" spans="3:12">
      <c r="C21" s="182"/>
      <c r="D21" s="259" t="s">
        <v>490</v>
      </c>
      <c r="E21" s="260"/>
      <c r="F21" s="261"/>
      <c r="G21" s="262"/>
      <c r="H21" s="182"/>
      <c r="I21" s="259" t="s">
        <v>491</v>
      </c>
      <c r="J21" s="260"/>
      <c r="K21" s="261"/>
      <c r="L21" s="262"/>
    </row>
    <row r="22" spans="3:12">
      <c r="C22" s="182"/>
      <c r="D22" s="259" t="s">
        <v>492</v>
      </c>
      <c r="E22" s="260"/>
      <c r="F22" s="263"/>
      <c r="G22" s="264"/>
      <c r="H22" s="182"/>
      <c r="I22" s="259" t="s">
        <v>493</v>
      </c>
      <c r="J22" s="260"/>
      <c r="K22" s="263"/>
      <c r="L22" s="264"/>
    </row>
    <row r="23" spans="3:12">
      <c r="C23" s="265" t="s">
        <v>113</v>
      </c>
      <c r="D23" s="266" t="s">
        <v>494</v>
      </c>
      <c r="E23" s="267"/>
      <c r="F23" s="267"/>
      <c r="G23" s="268"/>
      <c r="H23" s="265" t="s">
        <v>113</v>
      </c>
      <c r="I23" s="266" t="s">
        <v>495</v>
      </c>
      <c r="J23" s="267"/>
      <c r="K23" s="267"/>
      <c r="L23" s="268"/>
    </row>
    <row r="24" ht="48" customHeight="1" spans="3:12">
      <c r="C24" s="269"/>
      <c r="D24" s="270"/>
      <c r="E24" s="271"/>
      <c r="F24" s="271"/>
      <c r="G24" s="272"/>
      <c r="H24" s="269"/>
      <c r="I24" s="270"/>
      <c r="J24" s="271"/>
      <c r="K24" s="271"/>
      <c r="L24" s="272"/>
    </row>
    <row r="47" spans="8:8">
      <c r="H47"/>
    </row>
  </sheetData>
  <sheetProtection selectLockedCells="1" formatCells="0" formatColumns="0" formatRows="0" insertRows="0" insertColumns="0" insertHyperlinks="0" deleteColumns="0" deleteRows="0" sort="0" autoFilter="0" pivotTables="0"/>
  <mergeCells count="73">
    <mergeCell ref="B1:F1"/>
    <mergeCell ref="G1:K1"/>
    <mergeCell ref="L1:P1"/>
    <mergeCell ref="Q1:U1"/>
    <mergeCell ref="V1:Z1"/>
    <mergeCell ref="B3:F3"/>
    <mergeCell ref="G3:K3"/>
    <mergeCell ref="L3:P3"/>
    <mergeCell ref="Q3:U3"/>
    <mergeCell ref="V3:Z3"/>
    <mergeCell ref="W4:Z4"/>
    <mergeCell ref="C6:F6"/>
    <mergeCell ref="H6:K6"/>
    <mergeCell ref="M6:P6"/>
    <mergeCell ref="R6:U6"/>
    <mergeCell ref="B7:F7"/>
    <mergeCell ref="G7:K7"/>
    <mergeCell ref="L7:P7"/>
    <mergeCell ref="Q7:U7"/>
    <mergeCell ref="V7:Z7"/>
    <mergeCell ref="W8:Z8"/>
    <mergeCell ref="C10:F10"/>
    <mergeCell ref="H10:K10"/>
    <mergeCell ref="M10:P10"/>
    <mergeCell ref="R10:U10"/>
    <mergeCell ref="B11:F11"/>
    <mergeCell ref="G11:K11"/>
    <mergeCell ref="L11:P11"/>
    <mergeCell ref="Q11:U11"/>
    <mergeCell ref="V11:Z11"/>
    <mergeCell ref="AA11:AE11"/>
    <mergeCell ref="W12:Z12"/>
    <mergeCell ref="C14:F14"/>
    <mergeCell ref="H14:K14"/>
    <mergeCell ref="M14:P14"/>
    <mergeCell ref="R14:U14"/>
    <mergeCell ref="AB14:AE14"/>
    <mergeCell ref="B15:F15"/>
    <mergeCell ref="G15:K15"/>
    <mergeCell ref="L15:P15"/>
    <mergeCell ref="Q15:U15"/>
    <mergeCell ref="V15:Z15"/>
    <mergeCell ref="C16:F16"/>
    <mergeCell ref="W16:Z16"/>
    <mergeCell ref="H18:K18"/>
    <mergeCell ref="M18:P18"/>
    <mergeCell ref="R18:U18"/>
    <mergeCell ref="E19:G19"/>
    <mergeCell ref="J19:L19"/>
    <mergeCell ref="D20:E20"/>
    <mergeCell ref="I20:J20"/>
    <mergeCell ref="D21:E21"/>
    <mergeCell ref="I21:J21"/>
    <mergeCell ref="D22:E22"/>
    <mergeCell ref="I22:J22"/>
    <mergeCell ref="B17:B18"/>
    <mergeCell ref="C20:C22"/>
    <mergeCell ref="C23:C24"/>
    <mergeCell ref="H20:H22"/>
    <mergeCell ref="H23:H24"/>
    <mergeCell ref="V5:V6"/>
    <mergeCell ref="V9:V10"/>
    <mergeCell ref="V13:V14"/>
    <mergeCell ref="V17:V18"/>
    <mergeCell ref="W5:Z6"/>
    <mergeCell ref="W9:Z10"/>
    <mergeCell ref="F20:G22"/>
    <mergeCell ref="D23:G24"/>
    <mergeCell ref="K20:L22"/>
    <mergeCell ref="I23:L24"/>
    <mergeCell ref="C17:F18"/>
    <mergeCell ref="W17:Z18"/>
    <mergeCell ref="W13:Z14"/>
  </mergeCells>
  <conditionalFormatting sqref="C8">
    <cfRule type="cellIs" dxfId="0" priority="4" operator="equal">
      <formula>0</formula>
    </cfRule>
  </conditionalFormatting>
  <conditionalFormatting sqref="D8">
    <cfRule type="cellIs" dxfId="0" priority="5" operator="equal">
      <formula>0</formula>
    </cfRule>
  </conditionalFormatting>
  <conditionalFormatting sqref="M8">
    <cfRule type="cellIs" dxfId="0" priority="22" operator="equal">
      <formula>0</formula>
    </cfRule>
  </conditionalFormatting>
  <conditionalFormatting sqref="N8">
    <cfRule type="cellIs" dxfId="0" priority="23" operator="equal">
      <formula>0</formula>
    </cfRule>
  </conditionalFormatting>
  <conditionalFormatting sqref="R8">
    <cfRule type="cellIs" dxfId="0" priority="7" operator="equal">
      <formula>0</formula>
    </cfRule>
  </conditionalFormatting>
  <conditionalFormatting sqref="S8">
    <cfRule type="cellIs" dxfId="0" priority="8" operator="equal">
      <formula>0</formula>
    </cfRule>
  </conditionalFormatting>
  <conditionalFormatting sqref="R12">
    <cfRule type="cellIs" dxfId="0" priority="25" operator="equal">
      <formula>0</formula>
    </cfRule>
  </conditionalFormatting>
  <conditionalFormatting sqref="S12">
    <cfRule type="cellIs" dxfId="0" priority="26" operator="equal">
      <formula>0</formula>
    </cfRule>
  </conditionalFormatting>
  <conditionalFormatting sqref="AB12">
    <cfRule type="cellIs" dxfId="0" priority="1" operator="equal">
      <formula>0</formula>
    </cfRule>
  </conditionalFormatting>
  <conditionalFormatting sqref="AC12">
    <cfRule type="cellIs" dxfId="0" priority="2" operator="equal">
      <formula>0</formula>
    </cfRule>
  </conditionalFormatting>
  <conditionalFormatting sqref="H16">
    <cfRule type="cellIs" dxfId="0" priority="19" operator="equal">
      <formula>0</formula>
    </cfRule>
  </conditionalFormatting>
  <conditionalFormatting sqref="I16">
    <cfRule type="cellIs" dxfId="0" priority="20" operator="equal">
      <formula>0</formula>
    </cfRule>
  </conditionalFormatting>
  <conditionalFormatting sqref="R16">
    <cfRule type="cellIs" dxfId="0" priority="13" operator="equal">
      <formula>0</formula>
    </cfRule>
  </conditionalFormatting>
  <conditionalFormatting sqref="S16">
    <cfRule type="cellIs" dxfId="0" priority="14" operator="equal">
      <formula>0</formula>
    </cfRule>
  </conditionalFormatting>
  <conditionalFormatting sqref="C4:D5 H4:I5 M16:N17 M12:N13 H12:I13 C12:D13 M4:N5 H8:I9">
    <cfRule type="cellIs" dxfId="1" priority="35" operator="equal">
      <formula>0</formula>
    </cfRule>
  </conditionalFormatting>
  <conditionalFormatting sqref="C4 M16 H4 M12 H12 C12 H8 R4 M4">
    <cfRule type="cellIs" dxfId="0" priority="31" operator="equal">
      <formula>0</formula>
    </cfRule>
  </conditionalFormatting>
  <conditionalFormatting sqref="D4 N16 N12 I8 I12 D12 S4 N4 I4">
    <cfRule type="cellIs" dxfId="0" priority="32" operator="equal">
      <formula>0</formula>
    </cfRule>
  </conditionalFormatting>
  <conditionalFormatting sqref="R4:S5">
    <cfRule type="cellIs" dxfId="1" priority="33" operator="equal">
      <formula>0</formula>
    </cfRule>
  </conditionalFormatting>
  <conditionalFormatting sqref="C8:D9">
    <cfRule type="cellIs" dxfId="1" priority="6" operator="equal">
      <formula>0</formula>
    </cfRule>
  </conditionalFormatting>
  <conditionalFormatting sqref="M8:N9">
    <cfRule type="cellIs" dxfId="1" priority="24" operator="equal">
      <formula>0</formula>
    </cfRule>
  </conditionalFormatting>
  <conditionalFormatting sqref="R8:S9">
    <cfRule type="cellIs" dxfId="1" priority="9" operator="equal">
      <formula>0</formula>
    </cfRule>
  </conditionalFormatting>
  <conditionalFormatting sqref="R12:S13">
    <cfRule type="cellIs" dxfId="1" priority="27" operator="equal">
      <formula>0</formula>
    </cfRule>
  </conditionalFormatting>
  <conditionalFormatting sqref="AB12:AC13">
    <cfRule type="cellIs" dxfId="1" priority="3" operator="equal">
      <formula>0</formula>
    </cfRule>
  </conditionalFormatting>
  <conditionalFormatting sqref="H16:I17">
    <cfRule type="cellIs" dxfId="1" priority="21" operator="equal">
      <formula>0</formula>
    </cfRule>
  </conditionalFormatting>
  <conditionalFormatting sqref="R16:S17">
    <cfRule type="cellIs" dxfId="1" priority="15" operator="equal">
      <formula>0</formula>
    </cfRule>
  </conditionalFormatting>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
  </sheetPr>
  <dimension ref="B1:AE47"/>
  <sheetViews>
    <sheetView showGridLines="0" zoomScale="70" zoomScaleNormal="70" workbookViewId="0">
      <selection activeCell="AE12" sqref="AE12"/>
    </sheetView>
  </sheetViews>
  <sheetFormatPr defaultColWidth="8.89090909090909" defaultRowHeight="16.5"/>
  <cols>
    <col min="1" max="1" width="8.89090909090909" style="11"/>
    <col min="2" max="2" width="5.78181818181818" style="11" customWidth="1"/>
    <col min="3" max="4" width="8.78181818181818" style="11" customWidth="1"/>
    <col min="5" max="5" width="5.78181818181818" style="11" customWidth="1"/>
    <col min="6" max="6" width="14.7818181818182" style="11" customWidth="1"/>
    <col min="7" max="7" width="5.78181818181818" style="11" customWidth="1"/>
    <col min="8" max="9" width="8.78181818181818" style="11" customWidth="1"/>
    <col min="10" max="10" width="5.78181818181818" style="11" customWidth="1"/>
    <col min="11" max="11" width="14.7818181818182" style="11" customWidth="1"/>
    <col min="12" max="12" width="5.78181818181818" style="11" customWidth="1"/>
    <col min="13" max="14" width="8.78181818181818" style="11" customWidth="1"/>
    <col min="15" max="15" width="5.78181818181818" style="11" customWidth="1"/>
    <col min="16" max="16" width="14.7818181818182" style="11" customWidth="1"/>
    <col min="17" max="17" width="5.78181818181818" style="11" customWidth="1"/>
    <col min="18" max="19" width="8.78181818181818" style="11" customWidth="1"/>
    <col min="20" max="20" width="5.78181818181818" style="11" customWidth="1"/>
    <col min="21" max="21" width="14.7818181818182" style="11" customWidth="1"/>
    <col min="22" max="22" width="5.70909090909091" style="11" customWidth="1"/>
    <col min="23" max="26" width="8.89090909090909" style="11"/>
    <col min="27" max="27" width="4.79090909090909" style="11" customWidth="1"/>
    <col min="28" max="29" width="8.89090909090909" style="11"/>
    <col min="30" max="30" width="4.79090909090909" style="11" customWidth="1"/>
    <col min="31" max="31" width="14.7818181818182" style="11" customWidth="1"/>
    <col min="32" max="16384" width="8.89090909090909" style="11"/>
  </cols>
  <sheetData>
    <row r="1" ht="61" customHeight="1" spans="2:26">
      <c r="B1" s="92" t="s">
        <v>496</v>
      </c>
      <c r="C1" s="93"/>
      <c r="D1" s="93"/>
      <c r="E1" s="93"/>
      <c r="F1" s="93"/>
      <c r="G1" s="94" t="s">
        <v>497</v>
      </c>
      <c r="H1" s="95"/>
      <c r="I1" s="95"/>
      <c r="J1" s="95"/>
      <c r="K1" s="95"/>
      <c r="L1" s="106"/>
      <c r="M1" s="16"/>
      <c r="N1" s="16"/>
      <c r="O1" s="16"/>
      <c r="P1" s="16"/>
      <c r="Q1" s="106"/>
      <c r="R1" s="16"/>
      <c r="S1" s="16"/>
      <c r="T1" s="16"/>
      <c r="U1" s="16"/>
      <c r="V1" s="113" t="s">
        <v>498</v>
      </c>
      <c r="W1" s="114"/>
      <c r="X1" s="114"/>
      <c r="Y1" s="114"/>
      <c r="Z1" s="114"/>
    </row>
    <row r="2" ht="12" customHeight="1" spans="2:21">
      <c r="B2" s="96"/>
      <c r="C2" s="18"/>
      <c r="D2" s="18"/>
      <c r="E2" s="18"/>
      <c r="F2" s="18"/>
      <c r="G2" s="96"/>
      <c r="H2" s="18"/>
      <c r="I2" s="18"/>
      <c r="J2" s="18"/>
      <c r="K2" s="18"/>
      <c r="L2" s="96"/>
      <c r="M2" s="18"/>
      <c r="N2" s="18"/>
      <c r="O2" s="18"/>
      <c r="P2" s="18"/>
      <c r="Q2" s="96"/>
      <c r="R2" s="18"/>
      <c r="S2" s="18"/>
      <c r="T2" s="18"/>
      <c r="U2" s="18"/>
    </row>
    <row r="3" ht="15" customHeight="1" spans="2:26">
      <c r="B3" s="20" t="s">
        <v>499</v>
      </c>
      <c r="C3" s="20"/>
      <c r="D3" s="20"/>
      <c r="E3" s="20"/>
      <c r="F3" s="20"/>
      <c r="G3" s="20" t="s">
        <v>500</v>
      </c>
      <c r="H3" s="20"/>
      <c r="I3" s="20"/>
      <c r="J3" s="20"/>
      <c r="K3" s="20"/>
      <c r="L3" s="20" t="s">
        <v>501</v>
      </c>
      <c r="M3" s="20"/>
      <c r="N3" s="20"/>
      <c r="O3" s="20"/>
      <c r="P3" s="20"/>
      <c r="Q3" s="20" t="s">
        <v>502</v>
      </c>
      <c r="R3" s="20"/>
      <c r="S3" s="20"/>
      <c r="T3" s="20"/>
      <c r="U3" s="20"/>
      <c r="V3" s="20" t="s">
        <v>46</v>
      </c>
      <c r="W3" s="20"/>
      <c r="X3" s="20"/>
      <c r="Y3" s="20"/>
      <c r="Z3" s="128"/>
    </row>
    <row r="4" ht="48" customHeight="1" spans="2:26">
      <c r="B4" s="25" t="s">
        <v>47</v>
      </c>
      <c r="C4" s="48">
        <v>1</v>
      </c>
      <c r="D4" s="68">
        <v>0</v>
      </c>
      <c r="E4" s="25" t="s">
        <v>48</v>
      </c>
      <c r="F4" s="69" t="str">
        <f>_xlfn.DISPIMG("ID_4AEE9A02CA4F4AFE9B81D430DC91BCA1",1)</f>
        <v>=DISPIMG("ID_4AEE9A02CA4F4AFE9B81D430DC91BCA1",1)</v>
      </c>
      <c r="G4" s="25" t="s">
        <v>47</v>
      </c>
      <c r="H4" s="48">
        <v>0</v>
      </c>
      <c r="I4" s="68">
        <v>1</v>
      </c>
      <c r="J4" s="25" t="s">
        <v>48</v>
      </c>
      <c r="K4" s="69" t="str">
        <f>_xlfn.DISPIMG("ID_E09602D611FD4790AEA1A082707EDC61",1)</f>
        <v>=DISPIMG("ID_E09602D611FD4790AEA1A082707EDC61",1)</v>
      </c>
      <c r="L4" s="25" t="s">
        <v>47</v>
      </c>
      <c r="M4" s="48">
        <v>1</v>
      </c>
      <c r="N4" s="68">
        <v>0</v>
      </c>
      <c r="O4" s="25" t="s">
        <v>48</v>
      </c>
      <c r="P4" s="69" t="str">
        <f>_xlfn.DISPIMG("ID_7B188A15CEE4435098041758FEC1AB6D",1)</f>
        <v>=DISPIMG("ID_7B188A15CEE4435098041758FEC1AB6D",1)</v>
      </c>
      <c r="Q4" s="25" t="s">
        <v>47</v>
      </c>
      <c r="R4" s="48">
        <v>1</v>
      </c>
      <c r="S4" s="68">
        <v>0</v>
      </c>
      <c r="T4" s="25" t="s">
        <v>48</v>
      </c>
      <c r="U4" s="69" t="str">
        <f>_xlfn.DISPIMG("ID_BE08F6B6DF7240588BFC54C37756F96D",1)</f>
        <v>=DISPIMG("ID_BE08F6B6DF7240588BFC54C37756F96D",1)</v>
      </c>
      <c r="V4" s="25" t="s">
        <v>50</v>
      </c>
      <c r="W4" s="115" t="s">
        <v>503</v>
      </c>
      <c r="X4" s="116"/>
      <c r="Y4" s="116"/>
      <c r="Z4" s="116"/>
    </row>
    <row r="5" ht="48" customHeight="1" spans="2:26">
      <c r="B5" s="25" t="s">
        <v>52</v>
      </c>
      <c r="C5" s="49">
        <v>3</v>
      </c>
      <c r="D5" s="70">
        <v>0</v>
      </c>
      <c r="E5" s="25" t="s">
        <v>53</v>
      </c>
      <c r="F5" s="69" t="s">
        <v>54</v>
      </c>
      <c r="G5" s="25" t="s">
        <v>52</v>
      </c>
      <c r="H5" s="49">
        <v>2</v>
      </c>
      <c r="I5" s="70">
        <v>0</v>
      </c>
      <c r="J5" s="25" t="s">
        <v>55</v>
      </c>
      <c r="K5" s="69" t="s">
        <v>54</v>
      </c>
      <c r="L5" s="25" t="s">
        <v>52</v>
      </c>
      <c r="M5" s="49">
        <v>2</v>
      </c>
      <c r="N5" s="70">
        <v>0</v>
      </c>
      <c r="O5" s="25" t="s">
        <v>55</v>
      </c>
      <c r="P5" s="69" t="s">
        <v>54</v>
      </c>
      <c r="Q5" s="25" t="s">
        <v>52</v>
      </c>
      <c r="R5" s="49">
        <v>5</v>
      </c>
      <c r="S5" s="70">
        <v>0</v>
      </c>
      <c r="T5" s="25" t="s">
        <v>55</v>
      </c>
      <c r="U5" s="69" t="s">
        <v>504</v>
      </c>
      <c r="V5" s="27" t="s">
        <v>56</v>
      </c>
      <c r="W5" s="250" t="s">
        <v>505</v>
      </c>
      <c r="X5" s="118"/>
      <c r="Y5" s="118"/>
      <c r="Z5" s="118"/>
    </row>
    <row r="6" ht="70" customHeight="1" spans="2:26">
      <c r="B6" s="33" t="s">
        <v>58</v>
      </c>
      <c r="C6" s="97" t="s">
        <v>506</v>
      </c>
      <c r="D6" s="97"/>
      <c r="E6" s="97"/>
      <c r="F6" s="97"/>
      <c r="G6" s="33" t="s">
        <v>58</v>
      </c>
      <c r="H6" s="98" t="s">
        <v>507</v>
      </c>
      <c r="I6" s="98"/>
      <c r="J6" s="98"/>
      <c r="K6" s="98"/>
      <c r="L6" s="33" t="s">
        <v>58</v>
      </c>
      <c r="M6" s="107" t="s">
        <v>508</v>
      </c>
      <c r="N6" s="108"/>
      <c r="O6" s="108"/>
      <c r="P6" s="108"/>
      <c r="Q6" s="33" t="s">
        <v>58</v>
      </c>
      <c r="R6" s="112" t="s">
        <v>509</v>
      </c>
      <c r="S6" s="112"/>
      <c r="T6" s="112"/>
      <c r="U6" s="112"/>
      <c r="V6" s="33"/>
      <c r="W6" s="119"/>
      <c r="X6" s="120"/>
      <c r="Y6" s="120"/>
      <c r="Z6" s="120"/>
    </row>
    <row r="7" ht="15" customHeight="1" spans="2:31">
      <c r="B7" s="45" t="s">
        <v>510</v>
      </c>
      <c r="C7" s="45"/>
      <c r="D7" s="45"/>
      <c r="E7" s="45"/>
      <c r="F7" s="45"/>
      <c r="G7" s="45" t="s">
        <v>511</v>
      </c>
      <c r="H7" s="45"/>
      <c r="I7" s="45"/>
      <c r="J7" s="45"/>
      <c r="K7" s="45"/>
      <c r="L7" s="45" t="s">
        <v>512</v>
      </c>
      <c r="M7" s="45"/>
      <c r="N7" s="45"/>
      <c r="O7" s="45"/>
      <c r="P7" s="45"/>
      <c r="Q7" s="45" t="s">
        <v>513</v>
      </c>
      <c r="R7" s="45"/>
      <c r="S7" s="45"/>
      <c r="T7" s="45"/>
      <c r="U7" s="45"/>
      <c r="V7" s="20" t="s">
        <v>67</v>
      </c>
      <c r="W7" s="20"/>
      <c r="X7" s="20"/>
      <c r="Y7" s="20"/>
      <c r="Z7" s="129"/>
      <c r="AA7" s="35" t="s">
        <v>514</v>
      </c>
      <c r="AB7" s="35"/>
      <c r="AC7" s="35"/>
      <c r="AD7" s="35"/>
      <c r="AE7" s="35"/>
    </row>
    <row r="8" ht="48" customHeight="1" spans="2:31">
      <c r="B8" s="25" t="s">
        <v>47</v>
      </c>
      <c r="C8" s="48">
        <v>1</v>
      </c>
      <c r="D8" s="68">
        <v>0</v>
      </c>
      <c r="E8" s="25" t="s">
        <v>48</v>
      </c>
      <c r="F8" s="69" t="str">
        <f>_xlfn.DISPIMG("ID_9C50E56DDEC94528A554EA7BD4B3D009",1)</f>
        <v>=DISPIMG("ID_9C50E56DDEC94528A554EA7BD4B3D009",1)</v>
      </c>
      <c r="G8" s="25" t="s">
        <v>47</v>
      </c>
      <c r="H8" s="48">
        <v>1</v>
      </c>
      <c r="I8" s="68">
        <v>0</v>
      </c>
      <c r="J8" s="25" t="s">
        <v>48</v>
      </c>
      <c r="K8" s="69" t="str">
        <f>_xlfn.DISPIMG("ID_332BA67148914844AD8D7C153EC2616F",1)</f>
        <v>=DISPIMG("ID_332BA67148914844AD8D7C153EC2616F",1)</v>
      </c>
      <c r="L8" s="25" t="s">
        <v>47</v>
      </c>
      <c r="M8" s="48">
        <v>1</v>
      </c>
      <c r="N8" s="68">
        <v>0</v>
      </c>
      <c r="O8" s="25" t="s">
        <v>48</v>
      </c>
      <c r="P8" s="69" t="str">
        <f>_xlfn.DISPIMG("ID_352F057320394128B3AD79CE6B3F65E9",1)</f>
        <v>=DISPIMG("ID_352F057320394128B3AD79CE6B3F65E9",1)</v>
      </c>
      <c r="Q8" s="25" t="s">
        <v>47</v>
      </c>
      <c r="R8" s="48">
        <v>1</v>
      </c>
      <c r="S8" s="68">
        <v>0</v>
      </c>
      <c r="T8" s="25" t="s">
        <v>48</v>
      </c>
      <c r="U8" s="69" t="str">
        <f>_xlfn.DISPIMG("ID_73550FB06D014938AA281F0CF418BA23",1)</f>
        <v>=DISPIMG("ID_73550FB06D014938AA281F0CF418BA23",1)</v>
      </c>
      <c r="V8" s="25" t="s">
        <v>50</v>
      </c>
      <c r="W8" s="121" t="s">
        <v>515</v>
      </c>
      <c r="X8" s="122"/>
      <c r="Y8" s="122"/>
      <c r="Z8" s="130"/>
      <c r="AA8" s="25" t="s">
        <v>47</v>
      </c>
      <c r="AB8" s="224">
        <v>1</v>
      </c>
      <c r="AC8" s="68">
        <v>0</v>
      </c>
      <c r="AD8" s="25" t="s">
        <v>48</v>
      </c>
      <c r="AE8" s="69" t="s">
        <v>179</v>
      </c>
    </row>
    <row r="9" ht="48" customHeight="1" spans="2:31">
      <c r="B9" s="25" t="s">
        <v>52</v>
      </c>
      <c r="C9" s="49">
        <v>3</v>
      </c>
      <c r="D9" s="70">
        <v>0</v>
      </c>
      <c r="E9" s="25" t="s">
        <v>55</v>
      </c>
      <c r="F9" s="69" t="s">
        <v>54</v>
      </c>
      <c r="G9" s="25" t="s">
        <v>52</v>
      </c>
      <c r="H9" s="49">
        <v>5</v>
      </c>
      <c r="I9" s="70">
        <v>0</v>
      </c>
      <c r="J9" s="25" t="s">
        <v>55</v>
      </c>
      <c r="K9" s="69" t="s">
        <v>54</v>
      </c>
      <c r="L9" s="25" t="s">
        <v>52</v>
      </c>
      <c r="M9" s="49">
        <v>1</v>
      </c>
      <c r="N9" s="70">
        <v>1</v>
      </c>
      <c r="O9" s="25" t="s">
        <v>55</v>
      </c>
      <c r="P9" s="69" t="s">
        <v>54</v>
      </c>
      <c r="Q9" s="25" t="s">
        <v>52</v>
      </c>
      <c r="R9" s="49">
        <v>6</v>
      </c>
      <c r="S9" s="70">
        <v>0</v>
      </c>
      <c r="T9" s="25" t="s">
        <v>55</v>
      </c>
      <c r="U9" s="69" t="s">
        <v>504</v>
      </c>
      <c r="V9" s="27" t="s">
        <v>56</v>
      </c>
      <c r="W9" s="123" t="s">
        <v>516</v>
      </c>
      <c r="X9" s="118"/>
      <c r="Y9" s="118"/>
      <c r="Z9" s="131"/>
      <c r="AA9" s="25" t="s">
        <v>52</v>
      </c>
      <c r="AB9" s="49">
        <v>5</v>
      </c>
      <c r="AC9" s="70">
        <v>0</v>
      </c>
      <c r="AD9" s="25" t="s">
        <v>55</v>
      </c>
      <c r="AE9" s="69" t="s">
        <v>517</v>
      </c>
    </row>
    <row r="10" ht="70" customHeight="1" spans="2:31">
      <c r="B10" s="99" t="s">
        <v>58</v>
      </c>
      <c r="C10" s="100" t="s">
        <v>518</v>
      </c>
      <c r="D10" s="101"/>
      <c r="E10" s="101"/>
      <c r="F10" s="101"/>
      <c r="G10" s="99" t="s">
        <v>58</v>
      </c>
      <c r="H10" s="247" t="s">
        <v>519</v>
      </c>
      <c r="I10" s="109"/>
      <c r="J10" s="109"/>
      <c r="K10" s="109"/>
      <c r="L10" s="99" t="s">
        <v>58</v>
      </c>
      <c r="M10" s="110" t="s">
        <v>520</v>
      </c>
      <c r="N10" s="111"/>
      <c r="O10" s="111"/>
      <c r="P10" s="111"/>
      <c r="Q10" s="99" t="s">
        <v>58</v>
      </c>
      <c r="R10" s="124" t="s">
        <v>521</v>
      </c>
      <c r="S10" s="101"/>
      <c r="T10" s="101"/>
      <c r="U10" s="101"/>
      <c r="V10" s="33"/>
      <c r="W10" s="119"/>
      <c r="X10" s="120"/>
      <c r="Y10" s="120"/>
      <c r="Z10" s="132"/>
      <c r="AA10" s="33" t="s">
        <v>58</v>
      </c>
      <c r="AB10" s="225" t="s">
        <v>522</v>
      </c>
      <c r="AC10" s="103"/>
      <c r="AD10" s="103"/>
      <c r="AE10" s="103"/>
    </row>
    <row r="11" ht="15" customHeight="1" spans="2:26">
      <c r="B11" s="35" t="s">
        <v>523</v>
      </c>
      <c r="C11" s="35"/>
      <c r="D11" s="35"/>
      <c r="E11" s="35"/>
      <c r="F11" s="35"/>
      <c r="G11" s="35" t="s">
        <v>524</v>
      </c>
      <c r="H11" s="35"/>
      <c r="I11" s="35"/>
      <c r="J11" s="35"/>
      <c r="K11" s="35"/>
      <c r="L11" s="35" t="s">
        <v>525</v>
      </c>
      <c r="M11" s="35"/>
      <c r="N11" s="35"/>
      <c r="O11" s="35"/>
      <c r="P11" s="35"/>
      <c r="Q11" s="35" t="s">
        <v>526</v>
      </c>
      <c r="R11" s="35"/>
      <c r="S11" s="35"/>
      <c r="T11" s="35"/>
      <c r="U11" s="35"/>
      <c r="V11" s="20" t="s">
        <v>79</v>
      </c>
      <c r="W11" s="20"/>
      <c r="X11" s="20"/>
      <c r="Y11" s="20"/>
      <c r="Z11" s="129"/>
    </row>
    <row r="12" ht="48" customHeight="1" spans="2:26">
      <c r="B12" s="25" t="s">
        <v>47</v>
      </c>
      <c r="C12" s="48">
        <v>1</v>
      </c>
      <c r="D12" s="68">
        <v>1</v>
      </c>
      <c r="E12" s="25" t="s">
        <v>48</v>
      </c>
      <c r="F12" s="69" t="s">
        <v>527</v>
      </c>
      <c r="G12" s="25" t="s">
        <v>47</v>
      </c>
      <c r="H12" s="48">
        <v>1</v>
      </c>
      <c r="I12" s="68">
        <v>1</v>
      </c>
      <c r="J12" s="25" t="s">
        <v>48</v>
      </c>
      <c r="K12" s="69" t="s">
        <v>527</v>
      </c>
      <c r="L12" s="25" t="s">
        <v>47</v>
      </c>
      <c r="M12" s="48">
        <v>1</v>
      </c>
      <c r="N12" s="68">
        <v>1</v>
      </c>
      <c r="O12" s="25" t="s">
        <v>48</v>
      </c>
      <c r="P12" s="69" t="s">
        <v>527</v>
      </c>
      <c r="Q12" s="25" t="s">
        <v>47</v>
      </c>
      <c r="R12" s="48">
        <v>1</v>
      </c>
      <c r="S12" s="68">
        <v>1</v>
      </c>
      <c r="T12" s="25" t="s">
        <v>48</v>
      </c>
      <c r="U12" s="69" t="str">
        <f>_xlfn.DISPIMG("ID_72A1113324084D7FAEE46898E1DF046E",1)</f>
        <v>=DISPIMG("ID_72A1113324084D7FAEE46898E1DF046E",1)</v>
      </c>
      <c r="V12" s="25" t="s">
        <v>50</v>
      </c>
      <c r="W12" s="121" t="s">
        <v>528</v>
      </c>
      <c r="X12" s="122"/>
      <c r="Y12" s="122"/>
      <c r="Z12" s="130"/>
    </row>
    <row r="13" ht="48" customHeight="1" spans="2:26">
      <c r="B13" s="25" t="s">
        <v>52</v>
      </c>
      <c r="C13" s="49">
        <v>5</v>
      </c>
      <c r="D13" s="70">
        <v>1</v>
      </c>
      <c r="E13" s="25" t="s">
        <v>55</v>
      </c>
      <c r="F13" s="69" t="s">
        <v>54</v>
      </c>
      <c r="G13" s="25" t="s">
        <v>52</v>
      </c>
      <c r="H13" s="49">
        <v>10</v>
      </c>
      <c r="I13" s="70">
        <v>2</v>
      </c>
      <c r="J13" s="25" t="s">
        <v>55</v>
      </c>
      <c r="K13" s="69" t="s">
        <v>529</v>
      </c>
      <c r="L13" s="25" t="s">
        <v>52</v>
      </c>
      <c r="M13" s="49">
        <v>3</v>
      </c>
      <c r="N13" s="70">
        <v>0</v>
      </c>
      <c r="O13" s="25" t="s">
        <v>55</v>
      </c>
      <c r="P13" s="69" t="s">
        <v>529</v>
      </c>
      <c r="Q13" s="25" t="s">
        <v>52</v>
      </c>
      <c r="R13" s="49">
        <v>8</v>
      </c>
      <c r="S13" s="70">
        <v>0</v>
      </c>
      <c r="T13" s="25" t="s">
        <v>55</v>
      </c>
      <c r="U13" s="69" t="s">
        <v>54</v>
      </c>
      <c r="V13" s="27" t="s">
        <v>56</v>
      </c>
      <c r="W13" s="125" t="s">
        <v>530</v>
      </c>
      <c r="X13" s="118"/>
      <c r="Y13" s="118"/>
      <c r="Z13" s="131"/>
    </row>
    <row r="14" ht="70" customHeight="1" spans="2:26">
      <c r="B14" s="33" t="s">
        <v>58</v>
      </c>
      <c r="C14" s="103" t="s">
        <v>531</v>
      </c>
      <c r="D14" s="104"/>
      <c r="E14" s="104"/>
      <c r="F14" s="104"/>
      <c r="G14" s="33" t="s">
        <v>58</v>
      </c>
      <c r="H14" s="248" t="s">
        <v>532</v>
      </c>
      <c r="I14" s="97"/>
      <c r="J14" s="97"/>
      <c r="K14" s="97"/>
      <c r="L14" s="33" t="s">
        <v>58</v>
      </c>
      <c r="M14" s="112" t="s">
        <v>533</v>
      </c>
      <c r="N14" s="112"/>
      <c r="O14" s="112"/>
      <c r="P14" s="112"/>
      <c r="Q14" s="33" t="s">
        <v>58</v>
      </c>
      <c r="R14" s="126" t="s">
        <v>534</v>
      </c>
      <c r="S14" s="126"/>
      <c r="T14" s="126"/>
      <c r="U14" s="126"/>
      <c r="V14" s="33"/>
      <c r="W14" s="119"/>
      <c r="X14" s="120"/>
      <c r="Y14" s="120"/>
      <c r="Z14" s="132"/>
    </row>
    <row r="15" ht="15" customHeight="1" spans="2:26">
      <c r="B15" s="45" t="s">
        <v>535</v>
      </c>
      <c r="C15" s="45"/>
      <c r="D15" s="45"/>
      <c r="E15" s="45"/>
      <c r="F15" s="45"/>
      <c r="G15" s="45" t="s">
        <v>536</v>
      </c>
      <c r="H15" s="45"/>
      <c r="I15" s="45"/>
      <c r="J15" s="45"/>
      <c r="K15" s="45"/>
      <c r="L15" s="45" t="s">
        <v>537</v>
      </c>
      <c r="M15" s="45"/>
      <c r="N15" s="45"/>
      <c r="O15" s="45"/>
      <c r="P15" s="45"/>
      <c r="Q15" s="45" t="s">
        <v>538</v>
      </c>
      <c r="R15" s="45"/>
      <c r="S15" s="45"/>
      <c r="T15" s="45"/>
      <c r="U15" s="45"/>
      <c r="V15" s="45" t="s">
        <v>539</v>
      </c>
      <c r="W15" s="45"/>
      <c r="X15" s="45"/>
      <c r="Y15" s="45"/>
      <c r="Z15" s="133"/>
    </row>
    <row r="16" ht="48" customHeight="1" spans="2:26">
      <c r="B16" s="25" t="s">
        <v>47</v>
      </c>
      <c r="C16" s="48">
        <v>1</v>
      </c>
      <c r="D16" s="68">
        <v>1</v>
      </c>
      <c r="E16" s="25" t="s">
        <v>48</v>
      </c>
      <c r="F16" s="69" t="str">
        <f>_xlfn.DISPIMG("ID_40C0CF1C9E304AD39D41100E3C91254C",1)</f>
        <v>=DISPIMG("ID_40C0CF1C9E304AD39D41100E3C91254C",1)</v>
      </c>
      <c r="G16" s="25" t="s">
        <v>47</v>
      </c>
      <c r="H16" s="48">
        <v>1</v>
      </c>
      <c r="I16" s="68">
        <v>0</v>
      </c>
      <c r="J16" s="25" t="s">
        <v>48</v>
      </c>
      <c r="K16" s="69" t="str">
        <f>_xlfn.DISPIMG("ID_36D81C8AA6A1432D9D46CFAF43F6D505",1)</f>
        <v>=DISPIMG("ID_36D81C8AA6A1432D9D46CFAF43F6D505",1)</v>
      </c>
      <c r="L16" s="25" t="s">
        <v>47</v>
      </c>
      <c r="M16" s="48">
        <v>0</v>
      </c>
      <c r="N16" s="68">
        <v>0</v>
      </c>
      <c r="O16" s="25" t="s">
        <v>48</v>
      </c>
      <c r="P16" s="69" t="str">
        <f>_xlfn.DISPIMG("ID_0752C98FF66649929CDC383BB4C9FA1D",1)</f>
        <v>=DISPIMG("ID_0752C98FF66649929CDC383BB4C9FA1D",1)</v>
      </c>
      <c r="Q16" s="25" t="s">
        <v>47</v>
      </c>
      <c r="R16" s="48">
        <v>0</v>
      </c>
      <c r="S16" s="68">
        <v>0</v>
      </c>
      <c r="T16" s="25" t="s">
        <v>48</v>
      </c>
      <c r="U16" s="69" t="str">
        <f>_xlfn.DISPIMG("ID_6728A2511B314E5EA9397174EF34DC45",1)</f>
        <v>=DISPIMG("ID_6728A2511B314E5EA9397174EF34DC45",1)</v>
      </c>
      <c r="V16" s="25" t="s">
        <v>47</v>
      </c>
      <c r="W16" s="48">
        <v>0</v>
      </c>
      <c r="X16" s="68">
        <v>0</v>
      </c>
      <c r="Y16" s="25" t="s">
        <v>48</v>
      </c>
      <c r="Z16" s="134" t="s">
        <v>267</v>
      </c>
    </row>
    <row r="17" ht="48" customHeight="1" spans="2:26">
      <c r="B17" s="25" t="s">
        <v>52</v>
      </c>
      <c r="C17" s="49">
        <v>7</v>
      </c>
      <c r="D17" s="70">
        <v>2</v>
      </c>
      <c r="E17" s="25" t="s">
        <v>55</v>
      </c>
      <c r="F17" s="69" t="str">
        <f>_xlfn.DISPIMG("ID_8D1D66EF3C8E4C4DA2C499BD98760604",1)</f>
        <v>=DISPIMG("ID_8D1D66EF3C8E4C4DA2C499BD98760604",1)</v>
      </c>
      <c r="G17" s="25" t="s">
        <v>52</v>
      </c>
      <c r="H17" s="49">
        <v>6</v>
      </c>
      <c r="I17" s="70">
        <v>1</v>
      </c>
      <c r="J17" s="25" t="s">
        <v>55</v>
      </c>
      <c r="K17" s="69" t="s">
        <v>529</v>
      </c>
      <c r="L17" s="25" t="s">
        <v>52</v>
      </c>
      <c r="M17" s="49">
        <v>0</v>
      </c>
      <c r="N17" s="70">
        <v>1</v>
      </c>
      <c r="O17" s="25" t="s">
        <v>55</v>
      </c>
      <c r="P17" s="69" t="s">
        <v>529</v>
      </c>
      <c r="Q17" s="25" t="s">
        <v>52</v>
      </c>
      <c r="R17" s="49">
        <v>1</v>
      </c>
      <c r="S17" s="70">
        <v>0</v>
      </c>
      <c r="T17" s="25" t="s">
        <v>55</v>
      </c>
      <c r="U17" s="69" t="s">
        <v>529</v>
      </c>
      <c r="V17" s="25" t="s">
        <v>52</v>
      </c>
      <c r="W17" s="49">
        <v>0</v>
      </c>
      <c r="X17" s="70">
        <v>2</v>
      </c>
      <c r="Y17" s="25" t="s">
        <v>55</v>
      </c>
      <c r="Z17" s="134" t="s">
        <v>138</v>
      </c>
    </row>
    <row r="18" ht="70" customHeight="1" spans="2:26">
      <c r="B18" s="54" t="s">
        <v>58</v>
      </c>
      <c r="C18" s="105" t="s">
        <v>540</v>
      </c>
      <c r="D18" s="55"/>
      <c r="E18" s="55"/>
      <c r="F18" s="55"/>
      <c r="G18" s="54" t="s">
        <v>58</v>
      </c>
      <c r="H18" s="249" t="s">
        <v>541</v>
      </c>
      <c r="I18" s="105"/>
      <c r="J18" s="105"/>
      <c r="K18" s="105"/>
      <c r="L18" s="54" t="s">
        <v>58</v>
      </c>
      <c r="M18" s="249" t="s">
        <v>542</v>
      </c>
      <c r="N18" s="55"/>
      <c r="O18" s="55"/>
      <c r="P18" s="55"/>
      <c r="Q18" s="54" t="s">
        <v>58</v>
      </c>
      <c r="R18" s="105" t="s">
        <v>543</v>
      </c>
      <c r="S18" s="105"/>
      <c r="T18" s="105"/>
      <c r="U18" s="105"/>
      <c r="V18" s="54" t="s">
        <v>58</v>
      </c>
      <c r="W18" s="127" t="s">
        <v>544</v>
      </c>
      <c r="X18" s="127"/>
      <c r="Y18" s="127"/>
      <c r="Z18" s="135"/>
    </row>
    <row r="47" spans="8:8">
      <c r="H47"/>
    </row>
  </sheetData>
  <sheetProtection selectLockedCells="1" formatCells="0" formatColumns="0" formatRows="0" insertRows="0" insertColumns="0" insertHyperlinks="0" deleteColumns="0" deleteRows="0" sort="0" autoFilter="0" pivotTables="0"/>
  <mergeCells count="53">
    <mergeCell ref="B1:F1"/>
    <mergeCell ref="G1:K1"/>
    <mergeCell ref="L1:P1"/>
    <mergeCell ref="Q1:U1"/>
    <mergeCell ref="V1:Z1"/>
    <mergeCell ref="B3:F3"/>
    <mergeCell ref="G3:K3"/>
    <mergeCell ref="L3:P3"/>
    <mergeCell ref="Q3:U3"/>
    <mergeCell ref="V3:Z3"/>
    <mergeCell ref="W4:Z4"/>
    <mergeCell ref="C6:F6"/>
    <mergeCell ref="H6:K6"/>
    <mergeCell ref="M6:P6"/>
    <mergeCell ref="R6:U6"/>
    <mergeCell ref="B7:F7"/>
    <mergeCell ref="G7:K7"/>
    <mergeCell ref="L7:P7"/>
    <mergeCell ref="Q7:U7"/>
    <mergeCell ref="V7:Z7"/>
    <mergeCell ref="AA7:AE7"/>
    <mergeCell ref="W8:Z8"/>
    <mergeCell ref="C10:F10"/>
    <mergeCell ref="H10:K10"/>
    <mergeCell ref="M10:P10"/>
    <mergeCell ref="R10:U10"/>
    <mergeCell ref="AB10:AE10"/>
    <mergeCell ref="B11:F11"/>
    <mergeCell ref="G11:K11"/>
    <mergeCell ref="L11:P11"/>
    <mergeCell ref="Q11:U11"/>
    <mergeCell ref="V11:Z11"/>
    <mergeCell ref="W12:Z12"/>
    <mergeCell ref="C14:F14"/>
    <mergeCell ref="H14:K14"/>
    <mergeCell ref="M14:P14"/>
    <mergeCell ref="R14:U14"/>
    <mergeCell ref="B15:F15"/>
    <mergeCell ref="G15:K15"/>
    <mergeCell ref="L15:P15"/>
    <mergeCell ref="Q15:U15"/>
    <mergeCell ref="V15:Z15"/>
    <mergeCell ref="C18:F18"/>
    <mergeCell ref="H18:K18"/>
    <mergeCell ref="M18:P18"/>
    <mergeCell ref="R18:U18"/>
    <mergeCell ref="W18:Z18"/>
    <mergeCell ref="V5:V6"/>
    <mergeCell ref="V9:V10"/>
    <mergeCell ref="V13:V14"/>
    <mergeCell ref="W5:Z6"/>
    <mergeCell ref="W9:Z10"/>
    <mergeCell ref="W13:Z14"/>
  </mergeCells>
  <conditionalFormatting sqref="AB8">
    <cfRule type="cellIs" dxfId="0" priority="1" operator="equal">
      <formula>0</formula>
    </cfRule>
  </conditionalFormatting>
  <conditionalFormatting sqref="AC8">
    <cfRule type="cellIs" dxfId="0" priority="2" operator="equal">
      <formula>0</formula>
    </cfRule>
  </conditionalFormatting>
  <conditionalFormatting sqref="C4:D5 H4:I5 M16:N17 H16:I17 C16:D17 M12:N13 H12:I13 C12:D13 M8:N9 M4:N5 H8:I9 C8:D9">
    <cfRule type="cellIs" dxfId="1" priority="8" operator="equal">
      <formula>0</formula>
    </cfRule>
  </conditionalFormatting>
  <conditionalFormatting sqref="C4 W16 R16 M16 H16 C16 H4 R12 M12 H12 C12 C8 H8 M8 R8 R4 M4">
    <cfRule type="cellIs" dxfId="0" priority="4" operator="equal">
      <formula>0</formula>
    </cfRule>
  </conditionalFormatting>
  <conditionalFormatting sqref="X16 D4 D16 I16 N16 S16 S12 N12 I8 I12 D12 D8 N8 S8 S4 N4 I4">
    <cfRule type="cellIs" dxfId="0" priority="5" operator="equal">
      <formula>0</formula>
    </cfRule>
  </conditionalFormatting>
  <conditionalFormatting sqref="R4:S5 R16:S17 R12:S13 R8:S9">
    <cfRule type="cellIs" dxfId="1" priority="6" operator="equal">
      <formula>0</formula>
    </cfRule>
  </conditionalFormatting>
  <conditionalFormatting sqref="AB8:AC9">
    <cfRule type="cellIs" dxfId="1" priority="3" operator="equal">
      <formula>0</formula>
    </cfRule>
  </conditionalFormatting>
  <conditionalFormatting sqref="W16:X17">
    <cfRule type="cellIs" dxfId="1" priority="7" operator="equal">
      <formula>0</formula>
    </cfRule>
  </conditionalFormatting>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B1:AE47"/>
  <sheetViews>
    <sheetView showGridLines="0" zoomScale="70" zoomScaleNormal="70" workbookViewId="0">
      <selection activeCell="K8" sqref="K8"/>
    </sheetView>
  </sheetViews>
  <sheetFormatPr defaultColWidth="8.89090909090909" defaultRowHeight="16.5"/>
  <cols>
    <col min="1" max="1" width="8.89090909090909" style="11"/>
    <col min="2" max="2" width="5.78181818181818" style="11" customWidth="1"/>
    <col min="3" max="4" width="8.78181818181818" style="11" customWidth="1"/>
    <col min="5" max="5" width="5.78181818181818" style="11" customWidth="1"/>
    <col min="6" max="6" width="14.7818181818182" style="11" customWidth="1"/>
    <col min="7" max="7" width="5.78181818181818" style="11" customWidth="1"/>
    <col min="8" max="9" width="8.78181818181818" style="11" customWidth="1"/>
    <col min="10" max="10" width="5.78181818181818" style="11" customWidth="1"/>
    <col min="11" max="11" width="14.7818181818182" style="11" customWidth="1"/>
    <col min="12" max="12" width="5.78181818181818" style="11" customWidth="1"/>
    <col min="13" max="14" width="8.78181818181818" style="11" customWidth="1"/>
    <col min="15" max="15" width="5.78181818181818" style="11" customWidth="1"/>
    <col min="16" max="16" width="14.7818181818182" style="11" customWidth="1"/>
    <col min="17" max="17" width="5.78181818181818" style="11" customWidth="1"/>
    <col min="18" max="19" width="8.78181818181818" style="11" customWidth="1"/>
    <col min="20" max="20" width="5.78181818181818" style="11" customWidth="1"/>
    <col min="21" max="21" width="14.7818181818182" style="11" customWidth="1"/>
    <col min="22" max="22" width="5.70909090909091" style="11" customWidth="1"/>
    <col min="23" max="26" width="8.89090909090909" style="11"/>
    <col min="27" max="27" width="5.79090909090909" style="11" customWidth="1"/>
    <col min="28" max="29" width="8.89090909090909" style="11"/>
    <col min="30" max="30" width="5.79090909090909" style="11" customWidth="1"/>
    <col min="31" max="31" width="14.7818181818182" style="11" customWidth="1"/>
    <col min="32" max="16384" width="8.89090909090909" style="11"/>
  </cols>
  <sheetData>
    <row r="1" ht="61" customHeight="1" spans="2:26">
      <c r="B1" s="92" t="s">
        <v>545</v>
      </c>
      <c r="C1" s="93"/>
      <c r="D1" s="93"/>
      <c r="E1" s="93"/>
      <c r="F1" s="93"/>
      <c r="G1" s="94" t="s">
        <v>546</v>
      </c>
      <c r="H1" s="95"/>
      <c r="I1" s="95"/>
      <c r="J1" s="95"/>
      <c r="K1" s="95"/>
      <c r="L1" s="106"/>
      <c r="M1" s="16"/>
      <c r="N1" s="16"/>
      <c r="O1" s="16"/>
      <c r="P1" s="16"/>
      <c r="Q1" s="106"/>
      <c r="R1" s="16"/>
      <c r="S1" s="16"/>
      <c r="T1" s="16"/>
      <c r="U1" s="16"/>
      <c r="V1" s="113" t="s">
        <v>391</v>
      </c>
      <c r="W1" s="114"/>
      <c r="X1" s="114"/>
      <c r="Y1" s="114"/>
      <c r="Z1" s="114"/>
    </row>
    <row r="2" ht="12" customHeight="1" spans="2:21">
      <c r="B2" s="96"/>
      <c r="C2" s="18"/>
      <c r="D2" s="18"/>
      <c r="E2" s="18"/>
      <c r="F2" s="18"/>
      <c r="G2" s="96"/>
      <c r="H2" s="18"/>
      <c r="I2" s="18"/>
      <c r="J2" s="18"/>
      <c r="K2" s="18"/>
      <c r="L2" s="96"/>
      <c r="M2" s="18"/>
      <c r="N2" s="18"/>
      <c r="O2" s="18"/>
      <c r="P2" s="18"/>
      <c r="Q2" s="96"/>
      <c r="R2" s="18"/>
      <c r="S2" s="18"/>
      <c r="T2" s="18"/>
      <c r="U2" s="18"/>
    </row>
    <row r="3" ht="15" customHeight="1" spans="2:26">
      <c r="B3" s="20" t="s">
        <v>547</v>
      </c>
      <c r="C3" s="20"/>
      <c r="D3" s="20"/>
      <c r="E3" s="20"/>
      <c r="F3" s="20"/>
      <c r="G3" s="45" t="s">
        <v>548</v>
      </c>
      <c r="H3" s="45"/>
      <c r="I3" s="45"/>
      <c r="J3" s="45"/>
      <c r="K3" s="45"/>
      <c r="L3" s="20" t="s">
        <v>549</v>
      </c>
      <c r="M3" s="20"/>
      <c r="N3" s="20"/>
      <c r="O3" s="20"/>
      <c r="P3" s="20"/>
      <c r="Q3" s="20" t="s">
        <v>550</v>
      </c>
      <c r="R3" s="20"/>
      <c r="S3" s="20"/>
      <c r="T3" s="20"/>
      <c r="U3" s="20"/>
      <c r="V3" s="20" t="s">
        <v>46</v>
      </c>
      <c r="W3" s="20"/>
      <c r="X3" s="20"/>
      <c r="Y3" s="20"/>
      <c r="Z3" s="128"/>
    </row>
    <row r="4" ht="48" customHeight="1" spans="2:26">
      <c r="B4" s="25" t="s">
        <v>47</v>
      </c>
      <c r="C4" s="48">
        <v>1</v>
      </c>
      <c r="D4" s="68">
        <v>0</v>
      </c>
      <c r="E4" s="25" t="s">
        <v>48</v>
      </c>
      <c r="F4" s="69" t="s">
        <v>49</v>
      </c>
      <c r="G4" s="25" t="s">
        <v>47</v>
      </c>
      <c r="H4" s="48">
        <v>1</v>
      </c>
      <c r="I4" s="68">
        <v>0</v>
      </c>
      <c r="J4" s="25" t="s">
        <v>48</v>
      </c>
      <c r="K4" s="69" t="s">
        <v>49</v>
      </c>
      <c r="L4" s="25" t="s">
        <v>47</v>
      </c>
      <c r="M4" s="48">
        <v>1</v>
      </c>
      <c r="N4" s="68">
        <v>0</v>
      </c>
      <c r="O4" s="25" t="s">
        <v>48</v>
      </c>
      <c r="P4" s="69" t="s">
        <v>49</v>
      </c>
      <c r="Q4" s="25" t="s">
        <v>47</v>
      </c>
      <c r="R4" s="48">
        <v>1</v>
      </c>
      <c r="S4" s="68">
        <v>0</v>
      </c>
      <c r="T4" s="25" t="s">
        <v>48</v>
      </c>
      <c r="U4" s="69" t="s">
        <v>49</v>
      </c>
      <c r="V4" s="25" t="s">
        <v>50</v>
      </c>
      <c r="W4" s="115" t="s">
        <v>551</v>
      </c>
      <c r="X4" s="116"/>
      <c r="Y4" s="116"/>
      <c r="Z4" s="116"/>
    </row>
    <row r="5" ht="48" customHeight="1" spans="2:26">
      <c r="B5" s="25" t="s">
        <v>52</v>
      </c>
      <c r="C5" s="49">
        <v>2</v>
      </c>
      <c r="D5" s="70">
        <v>0</v>
      </c>
      <c r="E5" s="25" t="s">
        <v>53</v>
      </c>
      <c r="F5" s="69" t="s">
        <v>54</v>
      </c>
      <c r="G5" s="25" t="s">
        <v>52</v>
      </c>
      <c r="H5" s="49">
        <v>2</v>
      </c>
      <c r="I5" s="70">
        <v>0</v>
      </c>
      <c r="J5" s="25" t="s">
        <v>55</v>
      </c>
      <c r="K5" s="69" t="s">
        <v>54</v>
      </c>
      <c r="L5" s="25" t="s">
        <v>52</v>
      </c>
      <c r="M5" s="49">
        <v>2</v>
      </c>
      <c r="N5" s="70">
        <v>0</v>
      </c>
      <c r="O5" s="25" t="s">
        <v>55</v>
      </c>
      <c r="P5" s="69" t="s">
        <v>54</v>
      </c>
      <c r="Q5" s="25" t="s">
        <v>52</v>
      </c>
      <c r="R5" s="49">
        <v>3</v>
      </c>
      <c r="S5" s="70">
        <v>0</v>
      </c>
      <c r="T5" s="25" t="s">
        <v>55</v>
      </c>
      <c r="U5" s="69" t="s">
        <v>54</v>
      </c>
      <c r="V5" s="27" t="s">
        <v>56</v>
      </c>
      <c r="W5" s="117" t="s">
        <v>552</v>
      </c>
      <c r="X5" s="240"/>
      <c r="Y5" s="240"/>
      <c r="Z5" s="240"/>
    </row>
    <row r="6" ht="70" customHeight="1" spans="2:26">
      <c r="B6" s="33" t="s">
        <v>58</v>
      </c>
      <c r="C6" s="103" t="s">
        <v>553</v>
      </c>
      <c r="D6" s="103"/>
      <c r="E6" s="103"/>
      <c r="F6" s="103"/>
      <c r="G6" s="99" t="s">
        <v>58</v>
      </c>
      <c r="H6" s="175" t="s">
        <v>554</v>
      </c>
      <c r="I6" s="235"/>
      <c r="J6" s="235"/>
      <c r="K6" s="235"/>
      <c r="L6" s="33" t="s">
        <v>58</v>
      </c>
      <c r="M6" s="103" t="s">
        <v>555</v>
      </c>
      <c r="N6" s="103"/>
      <c r="O6" s="103"/>
      <c r="P6" s="103"/>
      <c r="Q6" s="33" t="s">
        <v>58</v>
      </c>
      <c r="R6" s="241" t="s">
        <v>556</v>
      </c>
      <c r="S6" s="241"/>
      <c r="T6" s="241"/>
      <c r="U6" s="241"/>
      <c r="V6" s="33"/>
      <c r="W6" s="242"/>
      <c r="X6" s="243"/>
      <c r="Y6" s="243"/>
      <c r="Z6" s="243"/>
    </row>
    <row r="7" ht="15" customHeight="1" spans="2:31">
      <c r="B7" s="45" t="s">
        <v>557</v>
      </c>
      <c r="C7" s="45"/>
      <c r="D7" s="45"/>
      <c r="E7" s="45"/>
      <c r="F7" s="45"/>
      <c r="G7" s="20" t="s">
        <v>558</v>
      </c>
      <c r="H7" s="20"/>
      <c r="I7" s="20"/>
      <c r="J7" s="20"/>
      <c r="K7" s="20"/>
      <c r="L7" s="45" t="s">
        <v>559</v>
      </c>
      <c r="M7" s="45"/>
      <c r="N7" s="45"/>
      <c r="O7" s="45"/>
      <c r="P7" s="45"/>
      <c r="Q7" s="45" t="s">
        <v>560</v>
      </c>
      <c r="R7" s="45"/>
      <c r="S7" s="45"/>
      <c r="T7" s="45"/>
      <c r="U7" s="45"/>
      <c r="V7" s="20" t="s">
        <v>67</v>
      </c>
      <c r="W7" s="20"/>
      <c r="X7" s="20"/>
      <c r="Y7" s="20"/>
      <c r="Z7" s="129"/>
      <c r="AA7" s="35" t="s">
        <v>561</v>
      </c>
      <c r="AB7" s="35"/>
      <c r="AC7" s="35"/>
      <c r="AD7" s="35"/>
      <c r="AE7" s="35"/>
    </row>
    <row r="8" ht="48" customHeight="1" spans="2:31">
      <c r="B8" s="25" t="s">
        <v>47</v>
      </c>
      <c r="C8" s="48">
        <v>0</v>
      </c>
      <c r="D8" s="68">
        <v>0</v>
      </c>
      <c r="E8" s="25" t="s">
        <v>48</v>
      </c>
      <c r="F8" s="69" t="s">
        <v>49</v>
      </c>
      <c r="G8" s="25" t="s">
        <v>47</v>
      </c>
      <c r="H8" s="48">
        <v>1</v>
      </c>
      <c r="I8" s="68">
        <v>0</v>
      </c>
      <c r="J8" s="25" t="s">
        <v>48</v>
      </c>
      <c r="K8" s="69" t="str">
        <f>_xlfn.DISPIMG("ID_B3A491DE7E8941C6A0241DBE0FC44504",1)</f>
        <v>=DISPIMG("ID_B3A491DE7E8941C6A0241DBE0FC44504",1)</v>
      </c>
      <c r="L8" s="25" t="s">
        <v>47</v>
      </c>
      <c r="M8" s="48">
        <v>0</v>
      </c>
      <c r="N8" s="68">
        <v>1</v>
      </c>
      <c r="O8" s="25" t="s">
        <v>48</v>
      </c>
      <c r="P8" s="69" t="str">
        <f>_xlfn.DISPIMG("ID_EAE70A7B83884CF885EC1EE078CC6FDB",1)</f>
        <v>=DISPIMG("ID_EAE70A7B83884CF885EC1EE078CC6FDB",1)</v>
      </c>
      <c r="Q8" s="25" t="s">
        <v>47</v>
      </c>
      <c r="R8" s="48">
        <v>1</v>
      </c>
      <c r="S8" s="68">
        <v>0</v>
      </c>
      <c r="T8" s="25" t="s">
        <v>48</v>
      </c>
      <c r="U8" s="69" t="s">
        <v>49</v>
      </c>
      <c r="V8" s="25" t="s">
        <v>50</v>
      </c>
      <c r="W8" s="115" t="s">
        <v>562</v>
      </c>
      <c r="X8" s="116"/>
      <c r="Y8" s="116"/>
      <c r="Z8" s="246"/>
      <c r="AA8" s="25" t="s">
        <v>47</v>
      </c>
      <c r="AB8" s="48">
        <v>0</v>
      </c>
      <c r="AC8" s="68">
        <v>1</v>
      </c>
      <c r="AD8" s="25" t="s">
        <v>48</v>
      </c>
      <c r="AE8" s="69" t="s">
        <v>49</v>
      </c>
    </row>
    <row r="9" ht="48" customHeight="1" spans="2:31">
      <c r="B9" s="25" t="s">
        <v>52</v>
      </c>
      <c r="C9" s="49">
        <v>6</v>
      </c>
      <c r="D9" s="70">
        <v>0</v>
      </c>
      <c r="E9" s="25" t="s">
        <v>55</v>
      </c>
      <c r="F9" s="69" t="s">
        <v>54</v>
      </c>
      <c r="G9" s="25" t="s">
        <v>52</v>
      </c>
      <c r="H9" s="49" t="s">
        <v>563</v>
      </c>
      <c r="I9" s="70">
        <v>0</v>
      </c>
      <c r="J9" s="25" t="s">
        <v>55</v>
      </c>
      <c r="K9" s="69" t="s">
        <v>564</v>
      </c>
      <c r="L9" s="25" t="s">
        <v>52</v>
      </c>
      <c r="M9" s="49">
        <v>5</v>
      </c>
      <c r="N9" s="70">
        <v>0</v>
      </c>
      <c r="O9" s="25" t="s">
        <v>55</v>
      </c>
      <c r="P9" s="69" t="s">
        <v>54</v>
      </c>
      <c r="Q9" s="25" t="s">
        <v>52</v>
      </c>
      <c r="R9" s="49">
        <v>4</v>
      </c>
      <c r="S9" s="70">
        <v>1</v>
      </c>
      <c r="T9" s="25" t="s">
        <v>55</v>
      </c>
      <c r="U9" s="69" t="s">
        <v>54</v>
      </c>
      <c r="V9" s="27" t="s">
        <v>56</v>
      </c>
      <c r="W9" s="117" t="s">
        <v>565</v>
      </c>
      <c r="X9" s="118"/>
      <c r="Y9" s="118"/>
      <c r="Z9" s="131"/>
      <c r="AA9" s="25" t="s">
        <v>52</v>
      </c>
      <c r="AB9" s="49" t="s">
        <v>566</v>
      </c>
      <c r="AC9" s="70">
        <v>0</v>
      </c>
      <c r="AD9" s="25" t="s">
        <v>55</v>
      </c>
      <c r="AE9" s="69" t="s">
        <v>54</v>
      </c>
    </row>
    <row r="10" ht="70" customHeight="1" spans="2:31">
      <c r="B10" s="99" t="s">
        <v>58</v>
      </c>
      <c r="C10" s="233" t="s">
        <v>567</v>
      </c>
      <c r="D10" s="233"/>
      <c r="E10" s="233"/>
      <c r="F10" s="233"/>
      <c r="G10" s="33" t="s">
        <v>58</v>
      </c>
      <c r="H10" s="103" t="s">
        <v>568</v>
      </c>
      <c r="I10" s="103"/>
      <c r="J10" s="103"/>
      <c r="K10" s="103"/>
      <c r="L10" s="99" t="s">
        <v>58</v>
      </c>
      <c r="M10" s="110" t="s">
        <v>569</v>
      </c>
      <c r="N10" s="110"/>
      <c r="O10" s="110"/>
      <c r="P10" s="110"/>
      <c r="Q10" s="99" t="s">
        <v>58</v>
      </c>
      <c r="R10" s="101" t="s">
        <v>570</v>
      </c>
      <c r="S10" s="101"/>
      <c r="T10" s="101"/>
      <c r="U10" s="101"/>
      <c r="V10" s="33"/>
      <c r="W10" s="119"/>
      <c r="X10" s="120"/>
      <c r="Y10" s="120"/>
      <c r="Z10" s="132"/>
      <c r="AA10" s="33" t="s">
        <v>58</v>
      </c>
      <c r="AB10" s="139" t="s">
        <v>571</v>
      </c>
      <c r="AC10" s="103"/>
      <c r="AD10" s="103"/>
      <c r="AE10" s="103"/>
    </row>
    <row r="11" ht="15" customHeight="1" spans="2:26">
      <c r="B11" s="35" t="s">
        <v>572</v>
      </c>
      <c r="C11" s="35"/>
      <c r="D11" s="35"/>
      <c r="E11" s="35"/>
      <c r="F11" s="35"/>
      <c r="G11" s="20" t="s">
        <v>573</v>
      </c>
      <c r="H11" s="20"/>
      <c r="I11" s="20"/>
      <c r="J11" s="20"/>
      <c r="K11" s="20"/>
      <c r="L11" s="35" t="s">
        <v>574</v>
      </c>
      <c r="M11" s="35"/>
      <c r="N11" s="35"/>
      <c r="O11" s="35"/>
      <c r="P11" s="35"/>
      <c r="Q11" s="35" t="s">
        <v>575</v>
      </c>
      <c r="R11" s="35"/>
      <c r="S11" s="35"/>
      <c r="T11" s="35"/>
      <c r="U11" s="35"/>
      <c r="V11" s="20" t="s">
        <v>79</v>
      </c>
      <c r="W11" s="20"/>
      <c r="X11" s="20"/>
      <c r="Y11" s="20"/>
      <c r="Z11" s="129"/>
    </row>
    <row r="12" ht="48" customHeight="1" spans="2:26">
      <c r="B12" s="25" t="s">
        <v>47</v>
      </c>
      <c r="C12" s="224">
        <v>1</v>
      </c>
      <c r="D12" s="68">
        <v>0</v>
      </c>
      <c r="E12" s="25" t="s">
        <v>48</v>
      </c>
      <c r="F12" s="69" t="str">
        <f>_xlfn.DISPIMG("ID_B3A491DE7E8941C6A0241DBE0FC44504",1)</f>
        <v>=DISPIMG("ID_B3A491DE7E8941C6A0241DBE0FC44504",1)</v>
      </c>
      <c r="G12" s="25" t="s">
        <v>47</v>
      </c>
      <c r="H12" s="48">
        <v>1</v>
      </c>
      <c r="I12" s="68">
        <v>0</v>
      </c>
      <c r="J12" s="25" t="s">
        <v>48</v>
      </c>
      <c r="K12" s="69" t="s">
        <v>49</v>
      </c>
      <c r="L12" s="25" t="s">
        <v>47</v>
      </c>
      <c r="M12" s="48">
        <v>0</v>
      </c>
      <c r="N12" s="68">
        <v>1</v>
      </c>
      <c r="O12" s="25" t="s">
        <v>48</v>
      </c>
      <c r="P12" s="69" t="s">
        <v>49</v>
      </c>
      <c r="Q12" s="25" t="s">
        <v>47</v>
      </c>
      <c r="R12" s="48">
        <v>1</v>
      </c>
      <c r="S12" s="68">
        <v>1</v>
      </c>
      <c r="T12" s="25" t="s">
        <v>48</v>
      </c>
      <c r="U12" s="69" t="str">
        <f>_xlfn.DISPIMG("ID_9F2FD3ED9CB04CBFAA4019308646EBF0",1)</f>
        <v>=DISPIMG("ID_9F2FD3ED9CB04CBFAA4019308646EBF0",1)</v>
      </c>
      <c r="V12" s="25" t="s">
        <v>50</v>
      </c>
      <c r="W12" s="115" t="s">
        <v>576</v>
      </c>
      <c r="X12" s="116"/>
      <c r="Y12" s="116"/>
      <c r="Z12" s="246"/>
    </row>
    <row r="13" ht="48" customHeight="1" spans="2:26">
      <c r="B13" s="25" t="s">
        <v>52</v>
      </c>
      <c r="C13" s="49">
        <v>8</v>
      </c>
      <c r="D13" s="70">
        <v>0</v>
      </c>
      <c r="E13" s="25" t="s">
        <v>55</v>
      </c>
      <c r="F13" s="69" t="s">
        <v>577</v>
      </c>
      <c r="G13" s="25" t="s">
        <v>52</v>
      </c>
      <c r="H13" s="49">
        <v>7</v>
      </c>
      <c r="I13" s="70">
        <v>0</v>
      </c>
      <c r="J13" s="25" t="s">
        <v>55</v>
      </c>
      <c r="K13" s="69" t="s">
        <v>54</v>
      </c>
      <c r="L13" s="25" t="s">
        <v>52</v>
      </c>
      <c r="M13" s="49">
        <v>7</v>
      </c>
      <c r="N13" s="70">
        <v>0</v>
      </c>
      <c r="O13" s="25" t="s">
        <v>55</v>
      </c>
      <c r="P13" s="69" t="s">
        <v>578</v>
      </c>
      <c r="Q13" s="25" t="s">
        <v>52</v>
      </c>
      <c r="R13" s="49">
        <v>10</v>
      </c>
      <c r="S13" s="70">
        <v>2</v>
      </c>
      <c r="T13" s="25" t="s">
        <v>55</v>
      </c>
      <c r="U13" s="69" t="s">
        <v>577</v>
      </c>
      <c r="V13" s="27" t="s">
        <v>56</v>
      </c>
      <c r="W13" s="117" t="s">
        <v>579</v>
      </c>
      <c r="X13" s="118"/>
      <c r="Y13" s="118"/>
      <c r="Z13" s="131"/>
    </row>
    <row r="14" ht="70" customHeight="1" spans="2:26">
      <c r="B14" s="33" t="s">
        <v>58</v>
      </c>
      <c r="C14" s="139" t="s">
        <v>580</v>
      </c>
      <c r="D14" s="104"/>
      <c r="E14" s="104"/>
      <c r="F14" s="104"/>
      <c r="G14" s="33" t="s">
        <v>58</v>
      </c>
      <c r="H14" s="103" t="s">
        <v>581</v>
      </c>
      <c r="I14" s="139"/>
      <c r="J14" s="139"/>
      <c r="K14" s="139"/>
      <c r="L14" s="33" t="s">
        <v>58</v>
      </c>
      <c r="M14" s="236" t="s">
        <v>582</v>
      </c>
      <c r="N14" s="108"/>
      <c r="O14" s="108"/>
      <c r="P14" s="108"/>
      <c r="Q14" s="33" t="s">
        <v>58</v>
      </c>
      <c r="R14" s="176" t="s">
        <v>583</v>
      </c>
      <c r="S14" s="244"/>
      <c r="T14" s="244"/>
      <c r="U14" s="244"/>
      <c r="V14" s="33"/>
      <c r="W14" s="119"/>
      <c r="X14" s="120"/>
      <c r="Y14" s="120"/>
      <c r="Z14" s="132"/>
    </row>
    <row r="15" ht="15" customHeight="1" spans="2:26">
      <c r="B15" s="45" t="s">
        <v>584</v>
      </c>
      <c r="C15" s="45"/>
      <c r="D15" s="45"/>
      <c r="E15" s="45"/>
      <c r="F15" s="45"/>
      <c r="G15" s="45" t="s">
        <v>585</v>
      </c>
      <c r="H15" s="45"/>
      <c r="I15" s="45"/>
      <c r="J15" s="45"/>
      <c r="K15" s="45"/>
      <c r="L15" s="45" t="s">
        <v>586</v>
      </c>
      <c r="M15" s="45"/>
      <c r="N15" s="45"/>
      <c r="O15" s="45"/>
      <c r="P15" s="45"/>
      <c r="Q15" s="45" t="s">
        <v>587</v>
      </c>
      <c r="R15" s="45"/>
      <c r="S15" s="45"/>
      <c r="T15" s="45"/>
      <c r="U15" s="45"/>
      <c r="V15" s="45" t="s">
        <v>588</v>
      </c>
      <c r="W15" s="45"/>
      <c r="X15" s="45"/>
      <c r="Y15" s="45"/>
      <c r="Z15" s="133"/>
    </row>
    <row r="16" ht="48" customHeight="1" spans="2:26">
      <c r="B16" s="25" t="s">
        <v>47</v>
      </c>
      <c r="C16" s="48">
        <v>1</v>
      </c>
      <c r="D16" s="68">
        <v>1</v>
      </c>
      <c r="E16" s="25" t="s">
        <v>48</v>
      </c>
      <c r="F16" s="69" t="s">
        <v>138</v>
      </c>
      <c r="G16" s="25" t="s">
        <v>47</v>
      </c>
      <c r="H16" s="48">
        <v>1</v>
      </c>
      <c r="I16" s="68">
        <v>1</v>
      </c>
      <c r="J16" s="25" t="s">
        <v>48</v>
      </c>
      <c r="K16" s="69" t="str">
        <f>_xlfn.DISPIMG("ID_36D81C8AA6A1432D9D46CFAF43F6D505",1)</f>
        <v>=DISPIMG("ID_36D81C8AA6A1432D9D46CFAF43F6D505",1)</v>
      </c>
      <c r="L16" s="25" t="s">
        <v>47</v>
      </c>
      <c r="M16" s="48">
        <v>0</v>
      </c>
      <c r="N16" s="68">
        <v>1</v>
      </c>
      <c r="O16" s="25" t="s">
        <v>48</v>
      </c>
      <c r="P16" s="69" t="s">
        <v>49</v>
      </c>
      <c r="Q16" s="25" t="s">
        <v>47</v>
      </c>
      <c r="R16" s="48">
        <v>1</v>
      </c>
      <c r="S16" s="68">
        <v>1</v>
      </c>
      <c r="T16" s="25" t="s">
        <v>48</v>
      </c>
      <c r="U16" s="69" t="s">
        <v>49</v>
      </c>
      <c r="V16" s="25" t="s">
        <v>47</v>
      </c>
      <c r="W16" s="224">
        <v>1</v>
      </c>
      <c r="X16" s="68">
        <v>1</v>
      </c>
      <c r="Y16" s="25" t="s">
        <v>48</v>
      </c>
      <c r="Z16" s="69" t="str">
        <f>_xlfn.DISPIMG("ID_ACC15541812E4B109706FB64626B1893",1)</f>
        <v>=DISPIMG("ID_ACC15541812E4B109706FB64626B1893",1)</v>
      </c>
    </row>
    <row r="17" ht="48" customHeight="1" spans="2:26">
      <c r="B17" s="25" t="s">
        <v>52</v>
      </c>
      <c r="C17" s="49">
        <v>10</v>
      </c>
      <c r="D17" s="70">
        <v>2</v>
      </c>
      <c r="E17" s="25" t="s">
        <v>55</v>
      </c>
      <c r="F17" s="69" t="s">
        <v>138</v>
      </c>
      <c r="G17" s="25" t="s">
        <v>52</v>
      </c>
      <c r="H17" s="49">
        <v>5</v>
      </c>
      <c r="I17" s="70">
        <v>0</v>
      </c>
      <c r="J17" s="25" t="s">
        <v>55</v>
      </c>
      <c r="K17" s="69" t="s">
        <v>54</v>
      </c>
      <c r="L17" s="25" t="s">
        <v>52</v>
      </c>
      <c r="M17" s="49">
        <v>12</v>
      </c>
      <c r="N17" s="70">
        <v>2</v>
      </c>
      <c r="O17" s="25" t="s">
        <v>55</v>
      </c>
      <c r="P17" s="69" t="s">
        <v>54</v>
      </c>
      <c r="Q17" s="25" t="s">
        <v>52</v>
      </c>
      <c r="R17" s="49">
        <v>12</v>
      </c>
      <c r="S17" s="70">
        <v>1</v>
      </c>
      <c r="T17" s="25" t="s">
        <v>55</v>
      </c>
      <c r="U17" s="69" t="s">
        <v>54</v>
      </c>
      <c r="V17" s="25" t="s">
        <v>52</v>
      </c>
      <c r="W17" s="49">
        <v>10</v>
      </c>
      <c r="X17" s="70">
        <v>2</v>
      </c>
      <c r="Y17" s="25" t="s">
        <v>55</v>
      </c>
      <c r="Z17" s="69" t="str">
        <f>_xlfn.DISPIMG("ID_B3A491DE7E8941C6A0241DBE0FC44504",1)</f>
        <v>=DISPIMG("ID_B3A491DE7E8941C6A0241DBE0FC44504",1)</v>
      </c>
    </row>
    <row r="18" ht="70" customHeight="1" spans="2:26">
      <c r="B18" s="54" t="s">
        <v>58</v>
      </c>
      <c r="C18" s="178" t="s">
        <v>589</v>
      </c>
      <c r="D18" s="178"/>
      <c r="E18" s="178"/>
      <c r="F18" s="178"/>
      <c r="G18" s="54" t="s">
        <v>58</v>
      </c>
      <c r="H18" s="234" t="s">
        <v>590</v>
      </c>
      <c r="I18" s="237"/>
      <c r="J18" s="237"/>
      <c r="K18" s="237"/>
      <c r="L18" s="54" t="s">
        <v>58</v>
      </c>
      <c r="M18" s="238" t="s">
        <v>591</v>
      </c>
      <c r="N18" s="239"/>
      <c r="O18" s="239"/>
      <c r="P18" s="239"/>
      <c r="Q18" s="54" t="s">
        <v>58</v>
      </c>
      <c r="R18" s="127" t="s">
        <v>592</v>
      </c>
      <c r="S18" s="245"/>
      <c r="T18" s="245"/>
      <c r="U18" s="245"/>
      <c r="V18" s="54" t="s">
        <v>58</v>
      </c>
      <c r="W18" s="127" t="s">
        <v>593</v>
      </c>
      <c r="X18" s="127"/>
      <c r="Y18" s="127"/>
      <c r="Z18" s="135"/>
    </row>
    <row r="47" spans="8:8">
      <c r="H47"/>
    </row>
  </sheetData>
  <sheetProtection selectLockedCells="1" formatCells="0" formatColumns="0" formatRows="0" insertRows="0" insertColumns="0" insertHyperlinks="0" deleteColumns="0" deleteRows="0" sort="0" autoFilter="0" pivotTables="0"/>
  <mergeCells count="53">
    <mergeCell ref="B1:F1"/>
    <mergeCell ref="G1:K1"/>
    <mergeCell ref="L1:P1"/>
    <mergeCell ref="Q1:U1"/>
    <mergeCell ref="V1:Z1"/>
    <mergeCell ref="B3:F3"/>
    <mergeCell ref="G3:K3"/>
    <mergeCell ref="L3:P3"/>
    <mergeCell ref="Q3:U3"/>
    <mergeCell ref="V3:Z3"/>
    <mergeCell ref="W4:Z4"/>
    <mergeCell ref="C6:F6"/>
    <mergeCell ref="H6:K6"/>
    <mergeCell ref="M6:P6"/>
    <mergeCell ref="R6:U6"/>
    <mergeCell ref="B7:F7"/>
    <mergeCell ref="G7:K7"/>
    <mergeCell ref="L7:P7"/>
    <mergeCell ref="Q7:U7"/>
    <mergeCell ref="V7:Z7"/>
    <mergeCell ref="AA7:AE7"/>
    <mergeCell ref="W8:Z8"/>
    <mergeCell ref="C10:F10"/>
    <mergeCell ref="H10:K10"/>
    <mergeCell ref="M10:P10"/>
    <mergeCell ref="R10:U10"/>
    <mergeCell ref="AB10:AE10"/>
    <mergeCell ref="B11:F11"/>
    <mergeCell ref="G11:K11"/>
    <mergeCell ref="L11:P11"/>
    <mergeCell ref="Q11:U11"/>
    <mergeCell ref="V11:Z11"/>
    <mergeCell ref="W12:Z12"/>
    <mergeCell ref="C14:F14"/>
    <mergeCell ref="H14:K14"/>
    <mergeCell ref="M14:P14"/>
    <mergeCell ref="R14:U14"/>
    <mergeCell ref="B15:F15"/>
    <mergeCell ref="G15:K15"/>
    <mergeCell ref="L15:P15"/>
    <mergeCell ref="Q15:U15"/>
    <mergeCell ref="V15:Z15"/>
    <mergeCell ref="C18:F18"/>
    <mergeCell ref="H18:K18"/>
    <mergeCell ref="M18:P18"/>
    <mergeCell ref="R18:U18"/>
    <mergeCell ref="W18:Z18"/>
    <mergeCell ref="V5:V6"/>
    <mergeCell ref="V9:V10"/>
    <mergeCell ref="V13:V14"/>
    <mergeCell ref="W5:Z6"/>
    <mergeCell ref="W9:Z10"/>
    <mergeCell ref="W13:Z14"/>
  </mergeCells>
  <conditionalFormatting sqref="H4">
    <cfRule type="cellIs" dxfId="0" priority="7" operator="equal">
      <formula>0</formula>
    </cfRule>
  </conditionalFormatting>
  <conditionalFormatting sqref="I4">
    <cfRule type="cellIs" dxfId="0" priority="8" operator="equal">
      <formula>0</formula>
    </cfRule>
  </conditionalFormatting>
  <conditionalFormatting sqref="H8">
    <cfRule type="cellIs" dxfId="0" priority="4" operator="equal">
      <formula>0</formula>
    </cfRule>
  </conditionalFormatting>
  <conditionalFormatting sqref="I8">
    <cfRule type="cellIs" dxfId="0" priority="5" operator="equal">
      <formula>0</formula>
    </cfRule>
  </conditionalFormatting>
  <conditionalFormatting sqref="AB8">
    <cfRule type="cellIs" dxfId="0" priority="1" operator="equal">
      <formula>0</formula>
    </cfRule>
  </conditionalFormatting>
  <conditionalFormatting sqref="AC8">
    <cfRule type="cellIs" dxfId="0" priority="2" operator="equal">
      <formula>0</formula>
    </cfRule>
  </conditionalFormatting>
  <conditionalFormatting sqref="H12">
    <cfRule type="cellIs" dxfId="0" priority="10" operator="equal">
      <formula>0</formula>
    </cfRule>
  </conditionalFormatting>
  <conditionalFormatting sqref="I12">
    <cfRule type="cellIs" dxfId="0" priority="11" operator="equal">
      <formula>0</formula>
    </cfRule>
  </conditionalFormatting>
  <conditionalFormatting sqref="C4:D5 M16:N17 H16:I17 C16:D17 M12:N13 C12:D13 M8:N9 M4:N5 C8:D9">
    <cfRule type="cellIs" dxfId="1" priority="17" operator="equal">
      <formula>0</formula>
    </cfRule>
  </conditionalFormatting>
  <conditionalFormatting sqref="C4 W16 R16 M16 H16 C16 R12 M12 C12 C8 M8 R8 R4 M4">
    <cfRule type="cellIs" dxfId="0" priority="13" operator="equal">
      <formula>0</formula>
    </cfRule>
  </conditionalFormatting>
  <conditionalFormatting sqref="X16 D4 D16 I16 N16 S16 S12 N12 D12 D8 N8 S8 S4 N4">
    <cfRule type="cellIs" dxfId="0" priority="14" operator="equal">
      <formula>0</formula>
    </cfRule>
  </conditionalFormatting>
  <conditionalFormatting sqref="H4:I5">
    <cfRule type="cellIs" dxfId="1" priority="9" operator="equal">
      <formula>0</formula>
    </cfRule>
  </conditionalFormatting>
  <conditionalFormatting sqref="R4:S5 R16:S17 R12:S13 R8:S9">
    <cfRule type="cellIs" dxfId="1" priority="15" operator="equal">
      <formula>0</formula>
    </cfRule>
  </conditionalFormatting>
  <conditionalFormatting sqref="H8:I9">
    <cfRule type="cellIs" dxfId="1" priority="6" operator="equal">
      <formula>0</formula>
    </cfRule>
  </conditionalFormatting>
  <conditionalFormatting sqref="AB8:AC9">
    <cfRule type="cellIs" dxfId="1" priority="3" operator="equal">
      <formula>0</formula>
    </cfRule>
  </conditionalFormatting>
  <conditionalFormatting sqref="H12:I13">
    <cfRule type="cellIs" dxfId="1" priority="12" operator="equal">
      <formula>0</formula>
    </cfRule>
  </conditionalFormatting>
  <conditionalFormatting sqref="W16:X17">
    <cfRule type="cellIs" dxfId="1" priority="16" operator="equal">
      <formula>0</formula>
    </cfRule>
  </conditionalFormatting>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5"/>
  </sheetPr>
  <dimension ref="B1:AE47"/>
  <sheetViews>
    <sheetView showGridLines="0" zoomScale="70" zoomScaleNormal="70" workbookViewId="0">
      <selection activeCell="AD9" sqref="AD9"/>
    </sheetView>
  </sheetViews>
  <sheetFormatPr defaultColWidth="8.89090909090909" defaultRowHeight="16.5"/>
  <cols>
    <col min="1" max="1" width="8.89090909090909" style="11"/>
    <col min="2" max="2" width="5.78181818181818" style="11" customWidth="1"/>
    <col min="3" max="4" width="8.78181818181818" style="11" customWidth="1"/>
    <col min="5" max="5" width="5.78181818181818" style="11" customWidth="1"/>
    <col min="6" max="6" width="14.7818181818182" style="11" customWidth="1"/>
    <col min="7" max="7" width="5.78181818181818" style="11" customWidth="1"/>
    <col min="8" max="9" width="8.78181818181818" style="11" customWidth="1"/>
    <col min="10" max="10" width="5.78181818181818" style="11" customWidth="1"/>
    <col min="11" max="11" width="14.7818181818182" style="11" customWidth="1"/>
    <col min="12" max="12" width="5.78181818181818" style="11" customWidth="1"/>
    <col min="13" max="14" width="8.78181818181818" style="11" customWidth="1"/>
    <col min="15" max="15" width="5.78181818181818" style="11" customWidth="1"/>
    <col min="16" max="16" width="14.7818181818182" style="11" customWidth="1"/>
    <col min="17" max="17" width="5.78181818181818" style="11" customWidth="1"/>
    <col min="18" max="19" width="8.78181818181818" style="11" customWidth="1"/>
    <col min="20" max="20" width="5.78181818181818" style="11" customWidth="1"/>
    <col min="21" max="21" width="14.7818181818182" style="11" customWidth="1"/>
    <col min="22" max="22" width="5.70909090909091" style="11" customWidth="1"/>
    <col min="23" max="23" width="11.3727272727273" style="11" customWidth="1"/>
    <col min="24" max="24" width="11.3818181818182" style="11" customWidth="1"/>
    <col min="25" max="25" width="6.8" style="11" customWidth="1"/>
    <col min="26" max="26" width="13.7181818181818" style="11" customWidth="1"/>
    <col min="27" max="27" width="5.79090909090909" style="11" customWidth="1"/>
    <col min="28" max="29" width="8.89090909090909" style="11"/>
    <col min="30" max="30" width="5.79090909090909" style="11" customWidth="1"/>
    <col min="31" max="31" width="14.7818181818182" style="11" customWidth="1"/>
    <col min="32" max="16384" width="8.89090909090909" style="11"/>
  </cols>
  <sheetData>
    <row r="1" ht="61" customHeight="1" spans="2:26">
      <c r="B1" s="92" t="s">
        <v>594</v>
      </c>
      <c r="C1" s="93"/>
      <c r="D1" s="93"/>
      <c r="E1" s="93"/>
      <c r="F1" s="93"/>
      <c r="G1" s="94" t="s">
        <v>595</v>
      </c>
      <c r="H1" s="95"/>
      <c r="I1" s="95"/>
      <c r="J1" s="95"/>
      <c r="K1" s="95"/>
      <c r="L1" s="106"/>
      <c r="M1" s="16"/>
      <c r="N1" s="16"/>
      <c r="O1" s="16"/>
      <c r="P1" s="16"/>
      <c r="Q1" s="106"/>
      <c r="R1" s="16"/>
      <c r="S1" s="16"/>
      <c r="T1" s="16"/>
      <c r="U1" s="16"/>
      <c r="V1" s="113" t="s">
        <v>391</v>
      </c>
      <c r="W1" s="114"/>
      <c r="X1" s="114"/>
      <c r="Y1" s="114"/>
      <c r="Z1" s="114"/>
    </row>
    <row r="2" ht="12" customHeight="1" spans="2:21">
      <c r="B2" s="96"/>
      <c r="C2" s="18"/>
      <c r="D2" s="18"/>
      <c r="E2" s="18"/>
      <c r="F2" s="18"/>
      <c r="G2" s="96"/>
      <c r="H2" s="18"/>
      <c r="I2" s="18"/>
      <c r="J2" s="18"/>
      <c r="K2" s="18"/>
      <c r="L2" s="96"/>
      <c r="M2" s="18"/>
      <c r="N2" s="18"/>
      <c r="O2" s="18"/>
      <c r="P2" s="18"/>
      <c r="Q2" s="96"/>
      <c r="R2" s="18"/>
      <c r="S2" s="18"/>
      <c r="T2" s="18"/>
      <c r="U2" s="18"/>
    </row>
    <row r="3" ht="15" customHeight="1" spans="2:31">
      <c r="B3" s="20" t="s">
        <v>596</v>
      </c>
      <c r="C3" s="20"/>
      <c r="D3" s="20"/>
      <c r="E3" s="20"/>
      <c r="F3" s="20"/>
      <c r="G3" s="20" t="s">
        <v>597</v>
      </c>
      <c r="H3" s="20"/>
      <c r="I3" s="20"/>
      <c r="J3" s="20"/>
      <c r="K3" s="20"/>
      <c r="L3" s="20" t="s">
        <v>598</v>
      </c>
      <c r="M3" s="20"/>
      <c r="N3" s="20"/>
      <c r="O3" s="20"/>
      <c r="P3" s="20"/>
      <c r="Q3" s="20" t="s">
        <v>599</v>
      </c>
      <c r="R3" s="20"/>
      <c r="S3" s="20"/>
      <c r="T3" s="20"/>
      <c r="U3" s="20"/>
      <c r="V3" s="20" t="s">
        <v>46</v>
      </c>
      <c r="W3" s="20"/>
      <c r="X3" s="20"/>
      <c r="Y3" s="20"/>
      <c r="Z3" s="128"/>
      <c r="AA3" s="35" t="s">
        <v>600</v>
      </c>
      <c r="AB3" s="35"/>
      <c r="AC3" s="35"/>
      <c r="AD3" s="35"/>
      <c r="AE3" s="35"/>
    </row>
    <row r="4" ht="48" customHeight="1" spans="2:31">
      <c r="B4" s="25" t="s">
        <v>47</v>
      </c>
      <c r="C4" s="48">
        <v>1</v>
      </c>
      <c r="D4" s="68">
        <v>0</v>
      </c>
      <c r="E4" s="25" t="s">
        <v>48</v>
      </c>
      <c r="F4" s="69" t="s">
        <v>49</v>
      </c>
      <c r="G4" s="25" t="s">
        <v>47</v>
      </c>
      <c r="H4" s="48">
        <v>1</v>
      </c>
      <c r="I4" s="68">
        <v>0</v>
      </c>
      <c r="J4" s="25" t="s">
        <v>48</v>
      </c>
      <c r="K4" s="69" t="s">
        <v>49</v>
      </c>
      <c r="L4" s="25" t="s">
        <v>47</v>
      </c>
      <c r="M4" s="48">
        <v>1</v>
      </c>
      <c r="N4" s="68">
        <v>0</v>
      </c>
      <c r="O4" s="25" t="s">
        <v>48</v>
      </c>
      <c r="P4" s="69" t="s">
        <v>49</v>
      </c>
      <c r="Q4" s="25" t="s">
        <v>47</v>
      </c>
      <c r="R4" s="48">
        <v>1</v>
      </c>
      <c r="S4" s="68">
        <v>0</v>
      </c>
      <c r="T4" s="25" t="s">
        <v>48</v>
      </c>
      <c r="U4" s="69" t="str">
        <f>_xlfn.DISPIMG("ID_73550FB06D014938AA281F0CF418BA23",1)</f>
        <v>=DISPIMG("ID_73550FB06D014938AA281F0CF418BA23",1)</v>
      </c>
      <c r="V4" s="25" t="s">
        <v>50</v>
      </c>
      <c r="W4" s="115" t="s">
        <v>601</v>
      </c>
      <c r="X4" s="116"/>
      <c r="Y4" s="116"/>
      <c r="Z4" s="116"/>
      <c r="AA4" s="25" t="s">
        <v>47</v>
      </c>
      <c r="AB4" s="48">
        <v>1</v>
      </c>
      <c r="AC4" s="68">
        <v>0</v>
      </c>
      <c r="AD4" s="25" t="s">
        <v>48</v>
      </c>
      <c r="AE4" s="69" t="s">
        <v>49</v>
      </c>
    </row>
    <row r="5" ht="48" customHeight="1" spans="2:31">
      <c r="B5" s="25" t="s">
        <v>52</v>
      </c>
      <c r="C5" s="49">
        <v>2</v>
      </c>
      <c r="D5" s="70">
        <v>0</v>
      </c>
      <c r="E5" s="25" t="s">
        <v>53</v>
      </c>
      <c r="F5" s="69" t="s">
        <v>54</v>
      </c>
      <c r="G5" s="25" t="s">
        <v>52</v>
      </c>
      <c r="H5" s="49">
        <v>5</v>
      </c>
      <c r="I5" s="70">
        <v>0</v>
      </c>
      <c r="J5" s="25" t="s">
        <v>55</v>
      </c>
      <c r="K5" s="69" t="s">
        <v>602</v>
      </c>
      <c r="L5" s="25" t="s">
        <v>52</v>
      </c>
      <c r="M5" s="49">
        <v>4</v>
      </c>
      <c r="N5" s="70">
        <v>0</v>
      </c>
      <c r="O5" s="25" t="s">
        <v>55</v>
      </c>
      <c r="P5" s="69" t="s">
        <v>54</v>
      </c>
      <c r="Q5" s="25" t="s">
        <v>52</v>
      </c>
      <c r="R5" s="49">
        <v>5</v>
      </c>
      <c r="S5" s="70">
        <v>0</v>
      </c>
      <c r="T5" s="25" t="s">
        <v>55</v>
      </c>
      <c r="U5" s="69" t="s">
        <v>54</v>
      </c>
      <c r="V5" s="27" t="s">
        <v>56</v>
      </c>
      <c r="W5" s="210" t="s">
        <v>603</v>
      </c>
      <c r="X5" s="211"/>
      <c r="Y5" s="211"/>
      <c r="Z5" s="211"/>
      <c r="AA5" s="25" t="s">
        <v>52</v>
      </c>
      <c r="AB5" s="49">
        <v>1</v>
      </c>
      <c r="AC5" s="70">
        <v>0</v>
      </c>
      <c r="AD5" s="25" t="s">
        <v>55</v>
      </c>
      <c r="AE5" s="69" t="s">
        <v>604</v>
      </c>
    </row>
    <row r="6" ht="70" customHeight="1" spans="2:31">
      <c r="B6" s="33" t="s">
        <v>58</v>
      </c>
      <c r="C6" s="126" t="s">
        <v>605</v>
      </c>
      <c r="D6" s="126"/>
      <c r="E6" s="126"/>
      <c r="F6" s="126"/>
      <c r="G6" s="33" t="s">
        <v>58</v>
      </c>
      <c r="H6" s="107" t="s">
        <v>606</v>
      </c>
      <c r="I6" s="107"/>
      <c r="J6" s="107"/>
      <c r="K6" s="107"/>
      <c r="L6" s="33" t="s">
        <v>58</v>
      </c>
      <c r="M6" s="157" t="s">
        <v>607</v>
      </c>
      <c r="N6" s="157"/>
      <c r="O6" s="157"/>
      <c r="P6" s="157"/>
      <c r="Q6" s="33" t="s">
        <v>58</v>
      </c>
      <c r="R6" s="157" t="s">
        <v>608</v>
      </c>
      <c r="S6" s="108"/>
      <c r="T6" s="108"/>
      <c r="U6" s="108"/>
      <c r="V6" s="33"/>
      <c r="W6" s="212"/>
      <c r="X6" s="213"/>
      <c r="Y6" s="213"/>
      <c r="Z6" s="213"/>
      <c r="AA6" s="33" t="s">
        <v>58</v>
      </c>
      <c r="AB6" s="225" t="s">
        <v>609</v>
      </c>
      <c r="AC6" s="103"/>
      <c r="AD6" s="103"/>
      <c r="AE6" s="103"/>
    </row>
    <row r="7" ht="15" customHeight="1" spans="2:26">
      <c r="B7" s="45" t="s">
        <v>610</v>
      </c>
      <c r="C7" s="45"/>
      <c r="D7" s="45"/>
      <c r="E7" s="45"/>
      <c r="F7" s="45"/>
      <c r="G7" s="45" t="s">
        <v>611</v>
      </c>
      <c r="H7" s="45"/>
      <c r="I7" s="45"/>
      <c r="J7" s="45"/>
      <c r="K7" s="45"/>
      <c r="L7" s="45" t="s">
        <v>612</v>
      </c>
      <c r="M7" s="45"/>
      <c r="N7" s="45"/>
      <c r="O7" s="45"/>
      <c r="P7" s="45"/>
      <c r="Q7" s="45" t="s">
        <v>613</v>
      </c>
      <c r="R7" s="45"/>
      <c r="S7" s="45"/>
      <c r="T7" s="45"/>
      <c r="U7" s="45"/>
      <c r="V7" s="20" t="s">
        <v>67</v>
      </c>
      <c r="W7" s="20"/>
      <c r="X7" s="20"/>
      <c r="Y7" s="20"/>
      <c r="Z7" s="129"/>
    </row>
    <row r="8" ht="48" customHeight="1" spans="2:26">
      <c r="B8" s="25" t="s">
        <v>47</v>
      </c>
      <c r="C8" s="48">
        <v>1</v>
      </c>
      <c r="D8" s="68">
        <v>0</v>
      </c>
      <c r="E8" s="25" t="s">
        <v>48</v>
      </c>
      <c r="F8" s="69" t="s">
        <v>49</v>
      </c>
      <c r="G8" s="25" t="s">
        <v>47</v>
      </c>
      <c r="H8" s="48">
        <v>1</v>
      </c>
      <c r="I8" s="68">
        <v>0</v>
      </c>
      <c r="J8" s="25" t="s">
        <v>48</v>
      </c>
      <c r="K8" s="69" t="str">
        <f>_xlfn.DISPIMG("ID_40C0CF1C9E304AD39D41100E3C91254C",1)</f>
        <v>=DISPIMG("ID_40C0CF1C9E304AD39D41100E3C91254C",1)</v>
      </c>
      <c r="L8" s="25" t="s">
        <v>47</v>
      </c>
      <c r="M8" s="48">
        <v>1</v>
      </c>
      <c r="N8" s="68">
        <v>0</v>
      </c>
      <c r="O8" s="25" t="s">
        <v>48</v>
      </c>
      <c r="P8" s="69" t="str">
        <f>_xlfn.DISPIMG("ID_73550FB06D014938AA281F0CF418BA23",1)</f>
        <v>=DISPIMG("ID_73550FB06D014938AA281F0CF418BA23",1)</v>
      </c>
      <c r="Q8" s="25" t="s">
        <v>47</v>
      </c>
      <c r="R8" s="48">
        <v>0</v>
      </c>
      <c r="S8" s="68">
        <v>1</v>
      </c>
      <c r="T8" s="25" t="s">
        <v>48</v>
      </c>
      <c r="U8" s="69" t="str">
        <f>_xlfn.DISPIMG("ID_73550FB06D014938AA281F0CF418BA23",1)</f>
        <v>=DISPIMG("ID_73550FB06D014938AA281F0CF418BA23",1)</v>
      </c>
      <c r="V8" s="25" t="s">
        <v>50</v>
      </c>
      <c r="W8" s="214" t="s">
        <v>614</v>
      </c>
      <c r="X8" s="215"/>
      <c r="Y8" s="215"/>
      <c r="Z8" s="226"/>
    </row>
    <row r="9" ht="48" customHeight="1" spans="2:26">
      <c r="B9" s="25" t="s">
        <v>52</v>
      </c>
      <c r="C9" s="49">
        <v>5</v>
      </c>
      <c r="D9" s="70">
        <v>0</v>
      </c>
      <c r="E9" s="25" t="s">
        <v>55</v>
      </c>
      <c r="F9" s="69" t="s">
        <v>54</v>
      </c>
      <c r="G9" s="25" t="s">
        <v>52</v>
      </c>
      <c r="H9" s="49">
        <v>4</v>
      </c>
      <c r="I9" s="70">
        <v>0</v>
      </c>
      <c r="J9" s="25" t="s">
        <v>55</v>
      </c>
      <c r="K9" s="69" t="s">
        <v>615</v>
      </c>
      <c r="L9" s="25" t="s">
        <v>52</v>
      </c>
      <c r="M9" s="49">
        <v>0</v>
      </c>
      <c r="N9" s="70">
        <v>0</v>
      </c>
      <c r="O9" s="25" t="s">
        <v>55</v>
      </c>
      <c r="P9" s="69" t="s">
        <v>54</v>
      </c>
      <c r="Q9" s="25" t="s">
        <v>52</v>
      </c>
      <c r="R9" s="49">
        <v>0</v>
      </c>
      <c r="S9" s="70">
        <v>0</v>
      </c>
      <c r="T9" s="25" t="s">
        <v>55</v>
      </c>
      <c r="U9" s="69" t="s">
        <v>54</v>
      </c>
      <c r="V9" s="27" t="s">
        <v>56</v>
      </c>
      <c r="W9" s="210" t="s">
        <v>616</v>
      </c>
      <c r="X9" s="211"/>
      <c r="Y9" s="211"/>
      <c r="Z9" s="227"/>
    </row>
    <row r="10" ht="70" customHeight="1" spans="2:26">
      <c r="B10" s="99" t="s">
        <v>58</v>
      </c>
      <c r="C10" s="175" t="s">
        <v>617</v>
      </c>
      <c r="D10" s="175"/>
      <c r="E10" s="175"/>
      <c r="F10" s="175"/>
      <c r="G10" s="99" t="s">
        <v>58</v>
      </c>
      <c r="H10" s="110" t="s">
        <v>618</v>
      </c>
      <c r="I10" s="205"/>
      <c r="J10" s="205"/>
      <c r="K10" s="205"/>
      <c r="L10" s="99" t="s">
        <v>58</v>
      </c>
      <c r="M10" s="206" t="s">
        <v>619</v>
      </c>
      <c r="N10" s="101"/>
      <c r="O10" s="101"/>
      <c r="P10" s="101"/>
      <c r="Q10" s="99" t="s">
        <v>58</v>
      </c>
      <c r="R10" s="175" t="s">
        <v>620</v>
      </c>
      <c r="S10" s="101"/>
      <c r="T10" s="101"/>
      <c r="U10" s="101"/>
      <c r="V10" s="33"/>
      <c r="W10" s="212"/>
      <c r="X10" s="213"/>
      <c r="Y10" s="213"/>
      <c r="Z10" s="228"/>
    </row>
    <row r="11" ht="15" customHeight="1" spans="2:26">
      <c r="B11" s="35" t="s">
        <v>621</v>
      </c>
      <c r="C11" s="35"/>
      <c r="D11" s="35"/>
      <c r="E11" s="35"/>
      <c r="F11" s="35"/>
      <c r="G11" s="35" t="s">
        <v>622</v>
      </c>
      <c r="H11" s="35"/>
      <c r="I11" s="35"/>
      <c r="J11" s="35"/>
      <c r="K11" s="35"/>
      <c r="L11" s="35" t="s">
        <v>623</v>
      </c>
      <c r="M11" s="35"/>
      <c r="N11" s="35"/>
      <c r="O11" s="35"/>
      <c r="P11" s="35"/>
      <c r="Q11" s="35" t="s">
        <v>624</v>
      </c>
      <c r="R11" s="35"/>
      <c r="S11" s="35"/>
      <c r="T11" s="35"/>
      <c r="U11" s="35"/>
      <c r="V11" s="20" t="s">
        <v>79</v>
      </c>
      <c r="W11" s="20"/>
      <c r="X11" s="20"/>
      <c r="Y11" s="20"/>
      <c r="Z11" s="129"/>
    </row>
    <row r="12" ht="48" customHeight="1" spans="2:26">
      <c r="B12" s="25" t="s">
        <v>47</v>
      </c>
      <c r="C12" s="48">
        <v>1</v>
      </c>
      <c r="D12" s="68">
        <v>1</v>
      </c>
      <c r="E12" s="25" t="s">
        <v>48</v>
      </c>
      <c r="F12" s="69" t="str">
        <f>_xlfn.DISPIMG("ID_40C0CF1C9E304AD39D41100E3C91254C",1)</f>
        <v>=DISPIMG("ID_40C0CF1C9E304AD39D41100E3C91254C",1)</v>
      </c>
      <c r="G12" s="25" t="s">
        <v>47</v>
      </c>
      <c r="H12" s="48">
        <v>1</v>
      </c>
      <c r="I12" s="68">
        <v>0</v>
      </c>
      <c r="J12" s="25" t="s">
        <v>48</v>
      </c>
      <c r="K12" s="69" t="str">
        <f>_xlfn.DISPIMG("ID_73550FB06D014938AA281F0CF418BA23",1)</f>
        <v>=DISPIMG("ID_73550FB06D014938AA281F0CF418BA23",1)</v>
      </c>
      <c r="L12" s="25" t="s">
        <v>47</v>
      </c>
      <c r="M12" s="48">
        <v>0</v>
      </c>
      <c r="N12" s="68">
        <v>1</v>
      </c>
      <c r="O12" s="25" t="s">
        <v>48</v>
      </c>
      <c r="P12" s="69" t="str">
        <f>_xlfn.DISPIMG("ID_73550FB06D014938AA281F0CF418BA23",1)</f>
        <v>=DISPIMG("ID_73550FB06D014938AA281F0CF418BA23",1)</v>
      </c>
      <c r="Q12" s="25" t="s">
        <v>47</v>
      </c>
      <c r="R12" s="48">
        <v>1</v>
      </c>
      <c r="S12" s="68">
        <v>0</v>
      </c>
      <c r="T12" s="25" t="s">
        <v>48</v>
      </c>
      <c r="U12" s="69" t="s">
        <v>179</v>
      </c>
      <c r="V12" s="25" t="s">
        <v>50</v>
      </c>
      <c r="W12" s="216" t="s">
        <v>625</v>
      </c>
      <c r="X12" s="217"/>
      <c r="Y12" s="217"/>
      <c r="Z12" s="229"/>
    </row>
    <row r="13" ht="48" customHeight="1" spans="2:26">
      <c r="B13" s="25" t="s">
        <v>52</v>
      </c>
      <c r="C13" s="49">
        <v>4</v>
      </c>
      <c r="D13" s="70">
        <v>2</v>
      </c>
      <c r="E13" s="25" t="s">
        <v>55</v>
      </c>
      <c r="F13" s="69" t="s">
        <v>54</v>
      </c>
      <c r="G13" s="25" t="s">
        <v>52</v>
      </c>
      <c r="H13" s="49">
        <v>3</v>
      </c>
      <c r="I13" s="70">
        <v>0</v>
      </c>
      <c r="J13" s="25" t="s">
        <v>55</v>
      </c>
      <c r="K13" s="69" t="s">
        <v>329</v>
      </c>
      <c r="L13" s="25" t="s">
        <v>52</v>
      </c>
      <c r="M13" s="49">
        <v>7</v>
      </c>
      <c r="N13" s="70">
        <v>0</v>
      </c>
      <c r="O13" s="25" t="s">
        <v>55</v>
      </c>
      <c r="P13" s="69" t="s">
        <v>54</v>
      </c>
      <c r="Q13" s="25" t="s">
        <v>52</v>
      </c>
      <c r="R13" s="49">
        <v>9</v>
      </c>
      <c r="S13" s="70">
        <v>0</v>
      </c>
      <c r="T13" s="25" t="s">
        <v>55</v>
      </c>
      <c r="U13" s="69" t="s">
        <v>626</v>
      </c>
      <c r="V13" s="27" t="s">
        <v>56</v>
      </c>
      <c r="W13" s="218" t="s">
        <v>627</v>
      </c>
      <c r="X13" s="219"/>
      <c r="Y13" s="219"/>
      <c r="Z13" s="230"/>
    </row>
    <row r="14" ht="70" customHeight="1" spans="2:26">
      <c r="B14" s="33" t="s">
        <v>58</v>
      </c>
      <c r="C14" s="176" t="s">
        <v>628</v>
      </c>
      <c r="D14" s="177"/>
      <c r="E14" s="177"/>
      <c r="F14" s="177"/>
      <c r="G14" s="33" t="s">
        <v>58</v>
      </c>
      <c r="H14" s="156" t="s">
        <v>629</v>
      </c>
      <c r="I14" s="97"/>
      <c r="J14" s="97"/>
      <c r="K14" s="97"/>
      <c r="L14" s="33" t="s">
        <v>58</v>
      </c>
      <c r="M14" s="207" t="s">
        <v>630</v>
      </c>
      <c r="N14" s="208"/>
      <c r="O14" s="208"/>
      <c r="P14" s="208"/>
      <c r="Q14" s="33" t="s">
        <v>58</v>
      </c>
      <c r="R14" s="220" t="s">
        <v>631</v>
      </c>
      <c r="S14" s="221"/>
      <c r="T14" s="221"/>
      <c r="U14" s="221"/>
      <c r="V14" s="33"/>
      <c r="W14" s="222"/>
      <c r="X14" s="223"/>
      <c r="Y14" s="223"/>
      <c r="Z14" s="231"/>
    </row>
    <row r="15" ht="15" customHeight="1" spans="2:26">
      <c r="B15" s="45" t="s">
        <v>632</v>
      </c>
      <c r="C15" s="45"/>
      <c r="D15" s="45"/>
      <c r="E15" s="45"/>
      <c r="F15" s="45"/>
      <c r="G15" s="45" t="s">
        <v>633</v>
      </c>
      <c r="H15" s="45"/>
      <c r="I15" s="45"/>
      <c r="J15" s="45"/>
      <c r="K15" s="45"/>
      <c r="L15" s="45" t="s">
        <v>634</v>
      </c>
      <c r="M15" s="45"/>
      <c r="N15" s="45"/>
      <c r="O15" s="45"/>
      <c r="P15" s="45"/>
      <c r="Q15" s="45" t="s">
        <v>635</v>
      </c>
      <c r="R15" s="45"/>
      <c r="S15" s="45"/>
      <c r="T15" s="45"/>
      <c r="U15" s="45"/>
      <c r="V15" s="45" t="s">
        <v>636</v>
      </c>
      <c r="W15" s="45"/>
      <c r="X15" s="45"/>
      <c r="Y15" s="45"/>
      <c r="Z15" s="133"/>
    </row>
    <row r="16" ht="48" customHeight="1" spans="2:26">
      <c r="B16" s="25" t="s">
        <v>47</v>
      </c>
      <c r="C16" s="48">
        <v>0</v>
      </c>
      <c r="D16" s="68">
        <v>1</v>
      </c>
      <c r="E16" s="25" t="s">
        <v>48</v>
      </c>
      <c r="F16" s="69" t="str">
        <f>_xlfn.DISPIMG("ID_40C0CF1C9E304AD39D41100E3C91254C",1)</f>
        <v>=DISPIMG("ID_40C0CF1C9E304AD39D41100E3C91254C",1)</v>
      </c>
      <c r="G16" s="25" t="s">
        <v>47</v>
      </c>
      <c r="H16" s="48">
        <v>1</v>
      </c>
      <c r="I16" s="68">
        <v>1</v>
      </c>
      <c r="J16" s="25" t="s">
        <v>48</v>
      </c>
      <c r="K16" s="69" t="str">
        <f>_xlfn.DISPIMG("ID_36D81C8AA6A1432D9D46CFAF43F6D505",1)</f>
        <v>=DISPIMG("ID_36D81C8AA6A1432D9D46CFAF43F6D505",1)</v>
      </c>
      <c r="L16" s="25" t="s">
        <v>47</v>
      </c>
      <c r="M16" s="48">
        <v>0</v>
      </c>
      <c r="N16" s="68">
        <v>0</v>
      </c>
      <c r="O16" s="25" t="s">
        <v>48</v>
      </c>
      <c r="P16" s="69" t="str">
        <f>_xlfn.DISPIMG("ID_73550FB06D014938AA281F0CF418BA23",1)</f>
        <v>=DISPIMG("ID_73550FB06D014938AA281F0CF418BA23",1)</v>
      </c>
      <c r="Q16" s="25" t="s">
        <v>47</v>
      </c>
      <c r="R16" s="48">
        <v>1</v>
      </c>
      <c r="S16" s="68">
        <v>1</v>
      </c>
      <c r="T16" s="25" t="s">
        <v>48</v>
      </c>
      <c r="U16" s="69" t="str">
        <f>_xlfn.DISPIMG("ID_0752C98FF66649929CDC383BB4C9FA1D",1)</f>
        <v>=DISPIMG("ID_0752C98FF66649929CDC383BB4C9FA1D",1)</v>
      </c>
      <c r="V16" s="25" t="s">
        <v>47</v>
      </c>
      <c r="W16" s="224">
        <v>1</v>
      </c>
      <c r="X16" s="68">
        <v>0</v>
      </c>
      <c r="Y16" s="25" t="s">
        <v>48</v>
      </c>
      <c r="Z16" s="69" t="str">
        <f>_xlfn.DISPIMG("ID_73550FB06D014938AA281F0CF418BA23",1)</f>
        <v>=DISPIMG("ID_73550FB06D014938AA281F0CF418BA23",1)</v>
      </c>
    </row>
    <row r="17" ht="48" customHeight="1" spans="2:26">
      <c r="B17" s="25" t="s">
        <v>52</v>
      </c>
      <c r="C17" s="49">
        <v>15</v>
      </c>
      <c r="D17" s="70">
        <v>4</v>
      </c>
      <c r="E17" s="25" t="s">
        <v>55</v>
      </c>
      <c r="F17" s="69" t="s">
        <v>54</v>
      </c>
      <c r="G17" s="25" t="s">
        <v>52</v>
      </c>
      <c r="H17" s="49">
        <v>12</v>
      </c>
      <c r="I17" s="70">
        <v>3</v>
      </c>
      <c r="J17" s="25" t="s">
        <v>55</v>
      </c>
      <c r="K17" s="69" t="s">
        <v>328</v>
      </c>
      <c r="L17" s="25" t="s">
        <v>52</v>
      </c>
      <c r="M17" s="49">
        <v>0</v>
      </c>
      <c r="N17" s="70">
        <v>0</v>
      </c>
      <c r="O17" s="25" t="s">
        <v>55</v>
      </c>
      <c r="P17" s="69" t="s">
        <v>54</v>
      </c>
      <c r="Q17" s="25" t="s">
        <v>52</v>
      </c>
      <c r="R17" s="49">
        <v>12</v>
      </c>
      <c r="S17" s="70">
        <v>0</v>
      </c>
      <c r="T17" s="25" t="s">
        <v>55</v>
      </c>
      <c r="U17" s="69" t="s">
        <v>328</v>
      </c>
      <c r="V17" s="25" t="s">
        <v>52</v>
      </c>
      <c r="W17" s="49">
        <v>8</v>
      </c>
      <c r="X17" s="70">
        <v>0</v>
      </c>
      <c r="Y17" s="25" t="s">
        <v>55</v>
      </c>
      <c r="Z17" s="134" t="s">
        <v>637</v>
      </c>
    </row>
    <row r="18" ht="70" customHeight="1" spans="2:26">
      <c r="B18" s="54" t="s">
        <v>58</v>
      </c>
      <c r="C18" s="178" t="s">
        <v>638</v>
      </c>
      <c r="D18" s="178"/>
      <c r="E18" s="178"/>
      <c r="F18" s="178"/>
      <c r="G18" s="54" t="s">
        <v>58</v>
      </c>
      <c r="H18" s="179" t="s">
        <v>639</v>
      </c>
      <c r="I18" s="179"/>
      <c r="J18" s="179"/>
      <c r="K18" s="179"/>
      <c r="L18" s="54" t="s">
        <v>58</v>
      </c>
      <c r="M18" s="179" t="s">
        <v>640</v>
      </c>
      <c r="N18" s="209"/>
      <c r="O18" s="209"/>
      <c r="P18" s="209"/>
      <c r="Q18" s="54" t="s">
        <v>58</v>
      </c>
      <c r="R18" s="166" t="s">
        <v>641</v>
      </c>
      <c r="S18" s="166"/>
      <c r="T18" s="166"/>
      <c r="U18" s="166"/>
      <c r="V18" s="54" t="s">
        <v>58</v>
      </c>
      <c r="W18" s="151" t="s">
        <v>642</v>
      </c>
      <c r="X18" s="151"/>
      <c r="Y18" s="151"/>
      <c r="Z18" s="232"/>
    </row>
    <row r="19" spans="2:6">
      <c r="B19" s="180" t="s">
        <v>643</v>
      </c>
      <c r="C19" s="181" t="s">
        <v>104</v>
      </c>
      <c r="D19" s="181" t="s">
        <v>105</v>
      </c>
      <c r="E19" s="181"/>
      <c r="F19" s="181"/>
    </row>
    <row r="20" spans="2:6">
      <c r="B20" s="182" t="str">
        <f>_xlfn.DISPIMG("ID_C349134FB39C4FE3A4DACB0D25287E0B",1)</f>
        <v>=DISPIMG("ID_C349134FB39C4FE3A4DACB0D25287E0B",1)</v>
      </c>
      <c r="C20" s="183" t="s">
        <v>644</v>
      </c>
      <c r="D20" s="184"/>
      <c r="E20" s="184"/>
      <c r="F20" s="185"/>
    </row>
    <row r="21" spans="2:6">
      <c r="B21" s="182"/>
      <c r="C21" s="186" t="s">
        <v>645</v>
      </c>
      <c r="D21" s="187"/>
      <c r="E21" s="187"/>
      <c r="F21" s="188"/>
    </row>
    <row r="22" spans="2:6">
      <c r="B22" s="189"/>
      <c r="C22" s="190" t="s">
        <v>646</v>
      </c>
      <c r="D22" s="191"/>
      <c r="E22" s="191"/>
      <c r="F22" s="192"/>
    </row>
    <row r="23" spans="2:6">
      <c r="B23" s="193" t="s">
        <v>113</v>
      </c>
      <c r="C23" s="194" t="s">
        <v>647</v>
      </c>
      <c r="D23" s="195"/>
      <c r="E23" s="195"/>
      <c r="F23" s="196"/>
    </row>
    <row r="24" spans="2:6">
      <c r="B24" s="197"/>
      <c r="C24" s="198"/>
      <c r="D24" s="199"/>
      <c r="E24" s="199"/>
      <c r="F24" s="200"/>
    </row>
    <row r="25" spans="2:6">
      <c r="B25" s="197"/>
      <c r="C25" s="198"/>
      <c r="D25" s="199"/>
      <c r="E25" s="199"/>
      <c r="F25" s="200"/>
    </row>
    <row r="26" spans="2:6">
      <c r="B26" s="197"/>
      <c r="C26" s="198"/>
      <c r="D26" s="199"/>
      <c r="E26" s="199"/>
      <c r="F26" s="200"/>
    </row>
    <row r="27" spans="2:6">
      <c r="B27" s="201"/>
      <c r="C27" s="202"/>
      <c r="D27" s="203"/>
      <c r="E27" s="203"/>
      <c r="F27" s="204"/>
    </row>
    <row r="47" spans="8:8">
      <c r="H47"/>
    </row>
  </sheetData>
  <sheetProtection selectLockedCells="1" formatCells="0" formatColumns="0" formatRows="0" insertRows="0" insertColumns="0" insertHyperlinks="0" deleteColumns="0" deleteRows="0" sort="0" autoFilter="0" pivotTables="0"/>
  <mergeCells count="60">
    <mergeCell ref="B1:F1"/>
    <mergeCell ref="G1:K1"/>
    <mergeCell ref="L1:P1"/>
    <mergeCell ref="Q1:U1"/>
    <mergeCell ref="V1:Z1"/>
    <mergeCell ref="B3:F3"/>
    <mergeCell ref="G3:K3"/>
    <mergeCell ref="L3:P3"/>
    <mergeCell ref="Q3:U3"/>
    <mergeCell ref="V3:Z3"/>
    <mergeCell ref="AA3:AE3"/>
    <mergeCell ref="W4:Z4"/>
    <mergeCell ref="C6:F6"/>
    <mergeCell ref="H6:K6"/>
    <mergeCell ref="M6:P6"/>
    <mergeCell ref="R6:U6"/>
    <mergeCell ref="AB6:AE6"/>
    <mergeCell ref="B7:F7"/>
    <mergeCell ref="G7:K7"/>
    <mergeCell ref="L7:P7"/>
    <mergeCell ref="Q7:U7"/>
    <mergeCell ref="V7:Z7"/>
    <mergeCell ref="W8:Z8"/>
    <mergeCell ref="C10:F10"/>
    <mergeCell ref="H10:K10"/>
    <mergeCell ref="M10:P10"/>
    <mergeCell ref="R10:U10"/>
    <mergeCell ref="B11:F11"/>
    <mergeCell ref="G11:K11"/>
    <mergeCell ref="L11:P11"/>
    <mergeCell ref="Q11:U11"/>
    <mergeCell ref="V11:Z11"/>
    <mergeCell ref="W12:Z12"/>
    <mergeCell ref="C14:F14"/>
    <mergeCell ref="H14:K14"/>
    <mergeCell ref="M14:P14"/>
    <mergeCell ref="R14:U14"/>
    <mergeCell ref="B15:F15"/>
    <mergeCell ref="G15:K15"/>
    <mergeCell ref="L15:P15"/>
    <mergeCell ref="Q15:U15"/>
    <mergeCell ref="V15:Z15"/>
    <mergeCell ref="C18:F18"/>
    <mergeCell ref="H18:K18"/>
    <mergeCell ref="M18:P18"/>
    <mergeCell ref="R18:U18"/>
    <mergeCell ref="W18:Z18"/>
    <mergeCell ref="D19:F19"/>
    <mergeCell ref="C20:F20"/>
    <mergeCell ref="C21:F21"/>
    <mergeCell ref="C22:F22"/>
    <mergeCell ref="B20:B22"/>
    <mergeCell ref="B23:B27"/>
    <mergeCell ref="V5:V6"/>
    <mergeCell ref="V9:V10"/>
    <mergeCell ref="V13:V14"/>
    <mergeCell ref="W5:Z6"/>
    <mergeCell ref="W9:Z10"/>
    <mergeCell ref="W13:Z14"/>
    <mergeCell ref="C23:F27"/>
  </mergeCells>
  <conditionalFormatting sqref="AB4">
    <cfRule type="cellIs" dxfId="0" priority="1" operator="equal">
      <formula>0</formula>
    </cfRule>
  </conditionalFormatting>
  <conditionalFormatting sqref="AC4">
    <cfRule type="cellIs" dxfId="0" priority="2" operator="equal">
      <formula>0</formula>
    </cfRule>
  </conditionalFormatting>
  <conditionalFormatting sqref="C4:D5 H4:I5 M16:N17 H16:I17 C16:D17 M12:N13 H12:I13 C12:D13 M8:N9 M4:N5 H8:I9 C8:D9">
    <cfRule type="cellIs" dxfId="1" priority="8" operator="equal">
      <formula>0</formula>
    </cfRule>
  </conditionalFormatting>
  <conditionalFormatting sqref="C4 W16 R16 M16 H16 C16 H4 R12 M12 H12 C12 C8 H8 M8 R8 R4 M4">
    <cfRule type="cellIs" dxfId="0" priority="4" operator="equal">
      <formula>0</formula>
    </cfRule>
  </conditionalFormatting>
  <conditionalFormatting sqref="X16 D4 D16 I16 N16 S16 S12 N12 I8 I12 D12 D8 N8 S8 S4 N4 I4">
    <cfRule type="cellIs" dxfId="0" priority="5" operator="equal">
      <formula>0</formula>
    </cfRule>
  </conditionalFormatting>
  <conditionalFormatting sqref="R4:S5 R16:S17 R12:S13 R8:S9">
    <cfRule type="cellIs" dxfId="1" priority="6" operator="equal">
      <formula>0</formula>
    </cfRule>
  </conditionalFormatting>
  <conditionalFormatting sqref="AB4:AC5">
    <cfRule type="cellIs" dxfId="1" priority="3" operator="equal">
      <formula>0</formula>
    </cfRule>
  </conditionalFormatting>
  <conditionalFormatting sqref="W16:X17">
    <cfRule type="cellIs" dxfId="1" priority="7" operator="equal">
      <formula>0</formula>
    </cfRule>
  </conditionalFormatting>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AA9F5"/>
  </sheetPr>
  <dimension ref="B1:AE40"/>
  <sheetViews>
    <sheetView showGridLines="0" zoomScale="70" zoomScaleNormal="70" workbookViewId="0">
      <selection activeCell="AD7" sqref="AD7"/>
    </sheetView>
  </sheetViews>
  <sheetFormatPr defaultColWidth="8.89090909090909" defaultRowHeight="16.5"/>
  <cols>
    <col min="1" max="1" width="8.89090909090909" style="11"/>
    <col min="2" max="2" width="5.78181818181818" style="11" customWidth="1"/>
    <col min="3" max="4" width="8.78181818181818" style="11" customWidth="1"/>
    <col min="5" max="5" width="5.78181818181818" style="11" customWidth="1"/>
    <col min="6" max="6" width="14.7818181818182" style="11" customWidth="1"/>
    <col min="7" max="7" width="5.78181818181818" style="11" customWidth="1"/>
    <col min="8" max="9" width="8.78181818181818" style="11" customWidth="1"/>
    <col min="10" max="10" width="5.78181818181818" style="11" customWidth="1"/>
    <col min="11" max="11" width="14.7818181818182" style="11" customWidth="1"/>
    <col min="12" max="12" width="5.78181818181818" style="11" customWidth="1"/>
    <col min="13" max="14" width="8.78181818181818" style="11" customWidth="1"/>
    <col min="15" max="15" width="5.78181818181818" style="11" customWidth="1"/>
    <col min="16" max="16" width="14.7818181818182" style="11" customWidth="1"/>
    <col min="17" max="17" width="5.78181818181818" style="11" customWidth="1"/>
    <col min="18" max="19" width="8.78181818181818" style="11" customWidth="1"/>
    <col min="20" max="20" width="5.78181818181818" style="11" customWidth="1"/>
    <col min="21" max="21" width="14.7818181818182" style="11" customWidth="1"/>
    <col min="22" max="22" width="5.70909090909091" style="11" customWidth="1"/>
    <col min="23" max="24" width="8.89090909090909" style="11"/>
    <col min="25" max="25" width="6.66363636363636" style="11" customWidth="1"/>
    <col min="26" max="26" width="13.8545454545455" style="11" customWidth="1"/>
    <col min="27" max="16384" width="8.89090909090909" style="11"/>
  </cols>
  <sheetData>
    <row r="1" ht="61" customHeight="1" spans="2:26">
      <c r="B1" s="92" t="s">
        <v>648</v>
      </c>
      <c r="C1" s="93"/>
      <c r="D1" s="93"/>
      <c r="E1" s="93"/>
      <c r="F1" s="93"/>
      <c r="G1" s="94" t="s">
        <v>649</v>
      </c>
      <c r="H1" s="95"/>
      <c r="I1" s="95"/>
      <c r="J1" s="95"/>
      <c r="K1" s="95"/>
      <c r="L1" s="154" t="s">
        <v>650</v>
      </c>
      <c r="M1" s="155"/>
      <c r="N1" s="155"/>
      <c r="O1" s="155"/>
      <c r="P1" s="155"/>
      <c r="Q1" s="154" t="s">
        <v>651</v>
      </c>
      <c r="R1" s="155"/>
      <c r="S1" s="155"/>
      <c r="T1" s="155"/>
      <c r="U1" s="155"/>
      <c r="V1" s="113" t="s">
        <v>41</v>
      </c>
      <c r="W1" s="114"/>
      <c r="X1" s="114"/>
      <c r="Y1" s="114"/>
      <c r="Z1" s="114"/>
    </row>
    <row r="2" ht="16.95" customHeight="1" spans="2:21">
      <c r="B2" s="96"/>
      <c r="C2" s="18"/>
      <c r="D2" s="18"/>
      <c r="E2" s="18"/>
      <c r="F2" s="18"/>
      <c r="G2" s="96"/>
      <c r="H2" s="18"/>
      <c r="I2" s="18"/>
      <c r="J2" s="18"/>
      <c r="K2" s="18"/>
      <c r="L2" s="96"/>
      <c r="M2" s="18"/>
      <c r="N2" s="18"/>
      <c r="O2" s="18"/>
      <c r="P2" s="18"/>
      <c r="Q2" s="96"/>
      <c r="R2" s="18"/>
      <c r="S2" s="18"/>
      <c r="T2" s="18"/>
      <c r="U2" s="18"/>
    </row>
    <row r="3" ht="18.15" customHeight="1" spans="2:26">
      <c r="B3" s="136" t="s">
        <v>652</v>
      </c>
      <c r="C3" s="20"/>
      <c r="D3" s="20"/>
      <c r="E3" s="20"/>
      <c r="F3" s="20"/>
      <c r="G3" s="20" t="s">
        <v>653</v>
      </c>
      <c r="H3" s="20"/>
      <c r="I3" s="20"/>
      <c r="J3" s="20"/>
      <c r="K3" s="20"/>
      <c r="L3" s="20" t="s">
        <v>654</v>
      </c>
      <c r="M3" s="20"/>
      <c r="N3" s="20"/>
      <c r="O3" s="20"/>
      <c r="P3" s="20"/>
      <c r="Q3" s="20" t="s">
        <v>655</v>
      </c>
      <c r="R3" s="20"/>
      <c r="S3" s="20"/>
      <c r="T3" s="20"/>
      <c r="U3" s="20"/>
      <c r="V3" s="20" t="s">
        <v>46</v>
      </c>
      <c r="W3" s="20"/>
      <c r="X3" s="20"/>
      <c r="Y3" s="20"/>
      <c r="Z3" s="129"/>
    </row>
    <row r="4" ht="48" customHeight="1" spans="2:26">
      <c r="B4" s="137" t="s">
        <v>47</v>
      </c>
      <c r="C4" s="48">
        <v>0</v>
      </c>
      <c r="D4" s="68">
        <v>0</v>
      </c>
      <c r="E4" s="25" t="s">
        <v>48</v>
      </c>
      <c r="F4" s="69" t="s">
        <v>81</v>
      </c>
      <c r="G4" s="25" t="s">
        <v>47</v>
      </c>
      <c r="H4" s="48">
        <v>1</v>
      </c>
      <c r="I4" s="68">
        <v>0</v>
      </c>
      <c r="J4" s="25" t="s">
        <v>48</v>
      </c>
      <c r="K4" s="69" t="s">
        <v>81</v>
      </c>
      <c r="L4" s="25" t="s">
        <v>47</v>
      </c>
      <c r="M4" s="48">
        <v>1</v>
      </c>
      <c r="N4" s="68">
        <v>0</v>
      </c>
      <c r="O4" s="25" t="s">
        <v>48</v>
      </c>
      <c r="P4" s="69" t="s">
        <v>81</v>
      </c>
      <c r="Q4" s="25" t="s">
        <v>47</v>
      </c>
      <c r="R4" s="48">
        <v>1</v>
      </c>
      <c r="S4" s="68">
        <v>1</v>
      </c>
      <c r="T4" s="25" t="s">
        <v>48</v>
      </c>
      <c r="U4" s="69" t="s">
        <v>138</v>
      </c>
      <c r="V4" s="25" t="s">
        <v>50</v>
      </c>
      <c r="W4" s="121" t="s">
        <v>656</v>
      </c>
      <c r="X4" s="122"/>
      <c r="Y4" s="122"/>
      <c r="Z4" s="130"/>
    </row>
    <row r="5" ht="48" customHeight="1" spans="2:26">
      <c r="B5" s="137" t="s">
        <v>52</v>
      </c>
      <c r="C5" s="49">
        <v>2</v>
      </c>
      <c r="D5" s="70">
        <v>0</v>
      </c>
      <c r="E5" s="25" t="s">
        <v>53</v>
      </c>
      <c r="F5" s="69" t="s">
        <v>54</v>
      </c>
      <c r="G5" s="25" t="s">
        <v>52</v>
      </c>
      <c r="H5" s="49">
        <v>2</v>
      </c>
      <c r="I5" s="70">
        <v>0</v>
      </c>
      <c r="J5" s="25" t="s">
        <v>55</v>
      </c>
      <c r="K5" s="69" t="s">
        <v>54</v>
      </c>
      <c r="L5" s="25" t="s">
        <v>52</v>
      </c>
      <c r="M5" s="49">
        <v>3</v>
      </c>
      <c r="N5" s="70">
        <v>0</v>
      </c>
      <c r="O5" s="25" t="s">
        <v>55</v>
      </c>
      <c r="P5" s="69" t="s">
        <v>54</v>
      </c>
      <c r="Q5" s="25" t="s">
        <v>52</v>
      </c>
      <c r="R5" s="49">
        <v>0</v>
      </c>
      <c r="S5" s="70">
        <v>0</v>
      </c>
      <c r="T5" s="25" t="s">
        <v>55</v>
      </c>
      <c r="U5" s="69" t="s">
        <v>138</v>
      </c>
      <c r="V5" s="27" t="s">
        <v>56</v>
      </c>
      <c r="W5" s="123" t="s">
        <v>657</v>
      </c>
      <c r="X5" s="159"/>
      <c r="Y5" s="159"/>
      <c r="Z5" s="170"/>
    </row>
    <row r="6" ht="70.75" customHeight="1" spans="2:26">
      <c r="B6" s="138" t="s">
        <v>58</v>
      </c>
      <c r="C6" s="139" t="s">
        <v>658</v>
      </c>
      <c r="D6" s="97"/>
      <c r="E6" s="97"/>
      <c r="F6" s="97"/>
      <c r="G6" s="33" t="s">
        <v>58</v>
      </c>
      <c r="H6" s="140" t="s">
        <v>659</v>
      </c>
      <c r="I6" s="156"/>
      <c r="J6" s="156"/>
      <c r="K6" s="156"/>
      <c r="L6" s="33" t="s">
        <v>58</v>
      </c>
      <c r="M6" s="157" t="s">
        <v>660</v>
      </c>
      <c r="N6" s="157"/>
      <c r="O6" s="157"/>
      <c r="P6" s="157"/>
      <c r="Q6" s="33" t="s">
        <v>58</v>
      </c>
      <c r="R6" s="107" t="s">
        <v>661</v>
      </c>
      <c r="S6" s="108"/>
      <c r="T6" s="108"/>
      <c r="U6" s="108"/>
      <c r="V6" s="33"/>
      <c r="W6" s="160"/>
      <c r="X6" s="161"/>
      <c r="Y6" s="161"/>
      <c r="Z6" s="171"/>
    </row>
    <row r="7" ht="18.15" customHeight="1" spans="2:26">
      <c r="B7" s="141" t="s">
        <v>662</v>
      </c>
      <c r="C7" s="45"/>
      <c r="D7" s="45"/>
      <c r="E7" s="45"/>
      <c r="F7" s="45"/>
      <c r="G7" s="45" t="s">
        <v>663</v>
      </c>
      <c r="H7" s="45"/>
      <c r="I7" s="45"/>
      <c r="J7" s="45"/>
      <c r="K7" s="45"/>
      <c r="L7" s="20" t="s">
        <v>664</v>
      </c>
      <c r="M7" s="20"/>
      <c r="N7" s="20"/>
      <c r="O7" s="20"/>
      <c r="P7" s="20"/>
      <c r="Q7" s="20" t="s">
        <v>665</v>
      </c>
      <c r="R7" s="20"/>
      <c r="S7" s="20"/>
      <c r="T7" s="20"/>
      <c r="U7" s="20"/>
      <c r="V7" s="20" t="s">
        <v>67</v>
      </c>
      <c r="W7" s="20"/>
      <c r="X7" s="20"/>
      <c r="Y7" s="20"/>
      <c r="Z7" s="129"/>
    </row>
    <row r="8" ht="48" customHeight="1" spans="2:26">
      <c r="B8" s="137" t="s">
        <v>47</v>
      </c>
      <c r="C8" s="48">
        <v>0</v>
      </c>
      <c r="D8" s="68">
        <v>1</v>
      </c>
      <c r="E8" s="25" t="s">
        <v>48</v>
      </c>
      <c r="F8" s="69" t="s">
        <v>81</v>
      </c>
      <c r="G8" s="25" t="s">
        <v>47</v>
      </c>
      <c r="H8" s="48">
        <v>1</v>
      </c>
      <c r="I8" s="68">
        <v>0</v>
      </c>
      <c r="J8" s="25" t="s">
        <v>48</v>
      </c>
      <c r="K8" s="69" t="s">
        <v>81</v>
      </c>
      <c r="L8" s="25" t="s">
        <v>47</v>
      </c>
      <c r="M8" s="48">
        <v>0</v>
      </c>
      <c r="N8" s="68">
        <v>1</v>
      </c>
      <c r="O8" s="25" t="s">
        <v>48</v>
      </c>
      <c r="P8" s="69" t="s">
        <v>81</v>
      </c>
      <c r="Q8" s="25" t="s">
        <v>47</v>
      </c>
      <c r="R8" s="48">
        <v>0</v>
      </c>
      <c r="S8" s="68">
        <v>0</v>
      </c>
      <c r="T8" s="25" t="s">
        <v>48</v>
      </c>
      <c r="U8" s="69" t="s">
        <v>81</v>
      </c>
      <c r="V8" s="25" t="s">
        <v>50</v>
      </c>
      <c r="W8" s="162" t="s">
        <v>666</v>
      </c>
      <c r="X8" s="163"/>
      <c r="Y8" s="163"/>
      <c r="Z8" s="172"/>
    </row>
    <row r="9" ht="48" customHeight="1" spans="2:26">
      <c r="B9" s="137" t="s">
        <v>52</v>
      </c>
      <c r="C9" s="49">
        <v>1</v>
      </c>
      <c r="D9" s="70">
        <v>0</v>
      </c>
      <c r="E9" s="25" t="s">
        <v>55</v>
      </c>
      <c r="F9" s="69" t="s">
        <v>54</v>
      </c>
      <c r="G9" s="25" t="s">
        <v>52</v>
      </c>
      <c r="H9" s="49">
        <v>2</v>
      </c>
      <c r="I9" s="70">
        <v>0</v>
      </c>
      <c r="J9" s="25" t="s">
        <v>55</v>
      </c>
      <c r="K9" s="69" t="s">
        <v>54</v>
      </c>
      <c r="L9" s="25" t="s">
        <v>52</v>
      </c>
      <c r="M9" s="49">
        <v>3</v>
      </c>
      <c r="N9" s="70">
        <v>0</v>
      </c>
      <c r="O9" s="25" t="s">
        <v>55</v>
      </c>
      <c r="P9" s="69" t="s">
        <v>54</v>
      </c>
      <c r="Q9" s="25" t="s">
        <v>52</v>
      </c>
      <c r="R9" s="49">
        <v>3</v>
      </c>
      <c r="S9" s="70">
        <v>0</v>
      </c>
      <c r="T9" s="25" t="s">
        <v>55</v>
      </c>
      <c r="U9" s="69" t="s">
        <v>54</v>
      </c>
      <c r="V9" s="27" t="s">
        <v>56</v>
      </c>
      <c r="W9" s="164" t="s">
        <v>667</v>
      </c>
      <c r="X9" s="118"/>
      <c r="Y9" s="118"/>
      <c r="Z9" s="131"/>
    </row>
    <row r="10" ht="70" customHeight="1" spans="2:26">
      <c r="B10" s="142" t="s">
        <v>58</v>
      </c>
      <c r="C10" s="143" t="s">
        <v>668</v>
      </c>
      <c r="D10" s="144"/>
      <c r="E10" s="144"/>
      <c r="F10" s="144"/>
      <c r="G10" s="99" t="s">
        <v>58</v>
      </c>
      <c r="H10" s="145" t="s">
        <v>669</v>
      </c>
      <c r="I10" s="111"/>
      <c r="J10" s="111"/>
      <c r="K10" s="111"/>
      <c r="L10" s="33" t="s">
        <v>58</v>
      </c>
      <c r="M10" s="140" t="s">
        <v>670</v>
      </c>
      <c r="N10" s="140"/>
      <c r="O10" s="140"/>
      <c r="P10" s="140"/>
      <c r="Q10" s="33" t="s">
        <v>58</v>
      </c>
      <c r="R10" s="107" t="s">
        <v>671</v>
      </c>
      <c r="S10" s="98"/>
      <c r="T10" s="98"/>
      <c r="U10" s="98"/>
      <c r="V10" s="33"/>
      <c r="W10" s="119"/>
      <c r="X10" s="120"/>
      <c r="Y10" s="120"/>
      <c r="Z10" s="132"/>
    </row>
    <row r="11" ht="15" customHeight="1" spans="2:31">
      <c r="B11" s="146" t="s">
        <v>672</v>
      </c>
      <c r="C11" s="35"/>
      <c r="D11" s="35"/>
      <c r="E11" s="35"/>
      <c r="F11" s="35"/>
      <c r="G11" s="35" t="s">
        <v>673</v>
      </c>
      <c r="H11" s="35"/>
      <c r="I11" s="35"/>
      <c r="J11" s="35"/>
      <c r="K11" s="35"/>
      <c r="L11" s="20" t="s">
        <v>674</v>
      </c>
      <c r="M11" s="20"/>
      <c r="N11" s="20"/>
      <c r="O11" s="20"/>
      <c r="P11" s="20"/>
      <c r="Q11" s="45" t="s">
        <v>675</v>
      </c>
      <c r="R11" s="45"/>
      <c r="S11" s="45"/>
      <c r="T11" s="45"/>
      <c r="U11" s="45"/>
      <c r="V11" s="20" t="s">
        <v>79</v>
      </c>
      <c r="W11" s="20"/>
      <c r="X11" s="20"/>
      <c r="Y11" s="20"/>
      <c r="Z11" s="129"/>
      <c r="AA11" s="20" t="s">
        <v>79</v>
      </c>
      <c r="AB11" s="20"/>
      <c r="AC11" s="20"/>
      <c r="AD11" s="20"/>
      <c r="AE11" s="129"/>
    </row>
    <row r="12" ht="48" customHeight="1" spans="2:31">
      <c r="B12" s="137" t="s">
        <v>47</v>
      </c>
      <c r="C12" s="48">
        <v>0</v>
      </c>
      <c r="D12" s="68">
        <v>1</v>
      </c>
      <c r="E12" s="25" t="s">
        <v>48</v>
      </c>
      <c r="F12" s="69" t="s">
        <v>81</v>
      </c>
      <c r="G12" s="25" t="s">
        <v>47</v>
      </c>
      <c r="H12" s="48">
        <v>0</v>
      </c>
      <c r="I12" s="68">
        <v>1</v>
      </c>
      <c r="J12" s="25" t="s">
        <v>48</v>
      </c>
      <c r="K12" s="69" t="s">
        <v>81</v>
      </c>
      <c r="L12" s="25" t="s">
        <v>47</v>
      </c>
      <c r="M12" s="48">
        <v>1</v>
      </c>
      <c r="N12" s="68">
        <v>1</v>
      </c>
      <c r="O12" s="25" t="s">
        <v>48</v>
      </c>
      <c r="P12" s="69" t="str">
        <f>_xlfn.DISPIMG("ID_B1E05786129C4C0B95CD63EAAEAF3BEF",1)</f>
        <v>=DISPIMG("ID_B1E05786129C4C0B95CD63EAAEAF3BEF",1)</v>
      </c>
      <c r="Q12" s="25" t="s">
        <v>47</v>
      </c>
      <c r="R12" s="48">
        <v>0</v>
      </c>
      <c r="S12" s="68">
        <v>0</v>
      </c>
      <c r="T12" s="25" t="s">
        <v>48</v>
      </c>
      <c r="U12" s="69" t="s">
        <v>138</v>
      </c>
      <c r="V12" s="25" t="s">
        <v>50</v>
      </c>
      <c r="W12" s="121" t="s">
        <v>676</v>
      </c>
      <c r="X12" s="122"/>
      <c r="Y12" s="122"/>
      <c r="Z12" s="130"/>
      <c r="AA12" s="25" t="s">
        <v>50</v>
      </c>
      <c r="AB12" s="162" t="s">
        <v>677</v>
      </c>
      <c r="AC12" s="163"/>
      <c r="AD12" s="163"/>
      <c r="AE12" s="172"/>
    </row>
    <row r="13" ht="48" customHeight="1" spans="2:31">
      <c r="B13" s="137" t="s">
        <v>52</v>
      </c>
      <c r="C13" s="49">
        <v>5</v>
      </c>
      <c r="D13" s="70">
        <v>0</v>
      </c>
      <c r="E13" s="25" t="s">
        <v>55</v>
      </c>
      <c r="F13" s="69" t="s">
        <v>54</v>
      </c>
      <c r="G13" s="25" t="s">
        <v>52</v>
      </c>
      <c r="H13" s="49">
        <v>3</v>
      </c>
      <c r="I13" s="70">
        <v>0</v>
      </c>
      <c r="J13" s="25" t="s">
        <v>55</v>
      </c>
      <c r="K13" s="69" t="s">
        <v>54</v>
      </c>
      <c r="L13" s="25" t="s">
        <v>52</v>
      </c>
      <c r="M13" s="49">
        <v>5</v>
      </c>
      <c r="N13" s="70">
        <v>1</v>
      </c>
      <c r="O13" s="25" t="s">
        <v>55</v>
      </c>
      <c r="P13" s="69" t="s">
        <v>84</v>
      </c>
      <c r="Q13" s="25" t="s">
        <v>52</v>
      </c>
      <c r="R13" s="49">
        <v>12</v>
      </c>
      <c r="S13" s="70">
        <v>1</v>
      </c>
      <c r="T13" s="25" t="s">
        <v>55</v>
      </c>
      <c r="U13" s="69" t="s">
        <v>138</v>
      </c>
      <c r="V13" s="27" t="s">
        <v>56</v>
      </c>
      <c r="W13" s="123" t="s">
        <v>678</v>
      </c>
      <c r="X13" s="159"/>
      <c r="Y13" s="159"/>
      <c r="Z13" s="170"/>
      <c r="AA13" s="27" t="s">
        <v>56</v>
      </c>
      <c r="AB13" s="164" t="s">
        <v>679</v>
      </c>
      <c r="AC13" s="118"/>
      <c r="AD13" s="118"/>
      <c r="AE13" s="131"/>
    </row>
    <row r="14" ht="70" customHeight="1" spans="2:31">
      <c r="B14" s="138" t="s">
        <v>58</v>
      </c>
      <c r="C14" s="147" t="s">
        <v>680</v>
      </c>
      <c r="D14" s="148"/>
      <c r="E14" s="148"/>
      <c r="F14" s="148"/>
      <c r="G14" s="33" t="s">
        <v>58</v>
      </c>
      <c r="H14" s="149" t="s">
        <v>681</v>
      </c>
      <c r="I14" s="97"/>
      <c r="J14" s="97"/>
      <c r="K14" s="97"/>
      <c r="L14" s="33" t="s">
        <v>58</v>
      </c>
      <c r="M14" s="156" t="s">
        <v>682</v>
      </c>
      <c r="N14" s="140"/>
      <c r="O14" s="140"/>
      <c r="P14" s="140"/>
      <c r="Q14" s="99" t="s">
        <v>58</v>
      </c>
      <c r="R14" s="107" t="s">
        <v>683</v>
      </c>
      <c r="S14" s="108"/>
      <c r="T14" s="108"/>
      <c r="U14" s="108"/>
      <c r="V14" s="33"/>
      <c r="W14" s="160"/>
      <c r="X14" s="161"/>
      <c r="Y14" s="161"/>
      <c r="Z14" s="171"/>
      <c r="AA14" s="33"/>
      <c r="AB14" s="119"/>
      <c r="AC14" s="120"/>
      <c r="AD14" s="120"/>
      <c r="AE14" s="132"/>
    </row>
    <row r="15" ht="15" customHeight="1" spans="2:26">
      <c r="B15" s="146" t="s">
        <v>684</v>
      </c>
      <c r="C15" s="35"/>
      <c r="D15" s="35"/>
      <c r="E15" s="35"/>
      <c r="F15" s="35"/>
      <c r="G15" s="45" t="s">
        <v>685</v>
      </c>
      <c r="H15" s="45"/>
      <c r="I15" s="45"/>
      <c r="J15" s="45"/>
      <c r="K15" s="45"/>
      <c r="L15" s="45" t="s">
        <v>686</v>
      </c>
      <c r="M15" s="45"/>
      <c r="N15" s="45"/>
      <c r="O15" s="45"/>
      <c r="P15" s="45"/>
      <c r="Q15" s="20" t="s">
        <v>687</v>
      </c>
      <c r="R15" s="20"/>
      <c r="S15" s="20"/>
      <c r="T15" s="20"/>
      <c r="U15" s="20"/>
      <c r="V15" s="20" t="s">
        <v>94</v>
      </c>
      <c r="W15" s="20"/>
      <c r="X15" s="20"/>
      <c r="Y15" s="20"/>
      <c r="Z15" s="129"/>
    </row>
    <row r="16" ht="48" customHeight="1" spans="2:26">
      <c r="B16" s="137" t="s">
        <v>47</v>
      </c>
      <c r="C16" s="48">
        <v>1</v>
      </c>
      <c r="D16" s="68">
        <v>1</v>
      </c>
      <c r="E16" s="25" t="s">
        <v>48</v>
      </c>
      <c r="F16" s="69" t="s">
        <v>81</v>
      </c>
      <c r="G16" s="25" t="s">
        <v>47</v>
      </c>
      <c r="H16" s="48">
        <v>1</v>
      </c>
      <c r="I16" s="68">
        <v>0</v>
      </c>
      <c r="J16" s="25" t="s">
        <v>48</v>
      </c>
      <c r="K16" s="69" t="s">
        <v>81</v>
      </c>
      <c r="L16" s="25" t="s">
        <v>47</v>
      </c>
      <c r="M16" s="48">
        <v>1</v>
      </c>
      <c r="N16" s="68">
        <v>0</v>
      </c>
      <c r="O16" s="25" t="s">
        <v>48</v>
      </c>
      <c r="P16" s="69" t="str">
        <f>_xlfn.DISPIMG("ID_B1E05786129C4C0B95CD63EAAEAF3BEF",1)</f>
        <v>=DISPIMG("ID_B1E05786129C4C0B95CD63EAAEAF3BEF",1)</v>
      </c>
      <c r="Q16" s="25" t="s">
        <v>47</v>
      </c>
      <c r="R16" s="48">
        <v>0</v>
      </c>
      <c r="S16" s="68">
        <v>1</v>
      </c>
      <c r="T16" s="25" t="s">
        <v>48</v>
      </c>
      <c r="U16" s="69" t="s">
        <v>81</v>
      </c>
      <c r="V16" s="25" t="s">
        <v>50</v>
      </c>
      <c r="W16" s="162" t="s">
        <v>688</v>
      </c>
      <c r="X16" s="163"/>
      <c r="Y16" s="163"/>
      <c r="Z16" s="172"/>
    </row>
    <row r="17" ht="48" customHeight="1" spans="2:26">
      <c r="B17" s="137" t="s">
        <v>52</v>
      </c>
      <c r="C17" s="49">
        <v>0</v>
      </c>
      <c r="D17" s="70">
        <v>0</v>
      </c>
      <c r="E17" s="25" t="s">
        <v>55</v>
      </c>
      <c r="F17" s="69" t="s">
        <v>54</v>
      </c>
      <c r="G17" s="25" t="s">
        <v>52</v>
      </c>
      <c r="H17" s="49">
        <v>6</v>
      </c>
      <c r="I17" s="70">
        <v>1</v>
      </c>
      <c r="J17" s="25" t="s">
        <v>55</v>
      </c>
      <c r="K17" s="69" t="s">
        <v>54</v>
      </c>
      <c r="L17" s="25" t="s">
        <v>52</v>
      </c>
      <c r="M17" s="49">
        <v>10</v>
      </c>
      <c r="N17" s="70">
        <v>2</v>
      </c>
      <c r="O17" s="25" t="s">
        <v>55</v>
      </c>
      <c r="P17" s="69" t="s">
        <v>84</v>
      </c>
      <c r="Q17" s="25" t="s">
        <v>52</v>
      </c>
      <c r="R17" s="49">
        <v>0</v>
      </c>
      <c r="S17" s="70">
        <v>0</v>
      </c>
      <c r="T17" s="25" t="s">
        <v>55</v>
      </c>
      <c r="U17" s="69" t="s">
        <v>54</v>
      </c>
      <c r="V17" s="27" t="s">
        <v>56</v>
      </c>
      <c r="W17" s="164" t="s">
        <v>689</v>
      </c>
      <c r="X17" s="165"/>
      <c r="Y17" s="165"/>
      <c r="Z17" s="173"/>
    </row>
    <row r="18" ht="70" customHeight="1" spans="2:26">
      <c r="B18" s="150" t="s">
        <v>58</v>
      </c>
      <c r="C18" s="151" t="s">
        <v>690</v>
      </c>
      <c r="D18" s="152"/>
      <c r="E18" s="152"/>
      <c r="F18" s="152"/>
      <c r="G18" s="54" t="s">
        <v>58</v>
      </c>
      <c r="H18" s="153" t="s">
        <v>691</v>
      </c>
      <c r="I18" s="105"/>
      <c r="J18" s="105"/>
      <c r="K18" s="105"/>
      <c r="L18" s="54" t="s">
        <v>58</v>
      </c>
      <c r="M18" s="158" t="s">
        <v>692</v>
      </c>
      <c r="N18" s="105"/>
      <c r="O18" s="105"/>
      <c r="P18" s="105"/>
      <c r="Q18" s="54" t="s">
        <v>58</v>
      </c>
      <c r="R18" s="166" t="s">
        <v>693</v>
      </c>
      <c r="S18" s="167"/>
      <c r="T18" s="167"/>
      <c r="U18" s="167"/>
      <c r="V18" s="54"/>
      <c r="W18" s="168"/>
      <c r="X18" s="169"/>
      <c r="Y18" s="169"/>
      <c r="Z18" s="174"/>
    </row>
    <row r="40" spans="8:8">
      <c r="H40"/>
    </row>
  </sheetData>
  <sheetProtection selectLockedCells="1" formatCells="0" formatColumns="0" formatRows="0" insertRows="0" insertColumns="0" insertHyperlinks="0" deleteColumns="0" deleteRows="0" sort="0" autoFilter="0" pivotTables="0"/>
  <mergeCells count="57">
    <mergeCell ref="B1:F1"/>
    <mergeCell ref="G1:K1"/>
    <mergeCell ref="L1:P1"/>
    <mergeCell ref="Q1:U1"/>
    <mergeCell ref="V1:Z1"/>
    <mergeCell ref="B3:F3"/>
    <mergeCell ref="G3:K3"/>
    <mergeCell ref="L3:P3"/>
    <mergeCell ref="Q3:U3"/>
    <mergeCell ref="V3:Z3"/>
    <mergeCell ref="W4:Z4"/>
    <mergeCell ref="C6:F6"/>
    <mergeCell ref="H6:K6"/>
    <mergeCell ref="M6:P6"/>
    <mergeCell ref="R6:U6"/>
    <mergeCell ref="B7:F7"/>
    <mergeCell ref="G7:K7"/>
    <mergeCell ref="L7:P7"/>
    <mergeCell ref="Q7:U7"/>
    <mergeCell ref="V7:Z7"/>
    <mergeCell ref="W8:Z8"/>
    <mergeCell ref="C10:F10"/>
    <mergeCell ref="H10:K10"/>
    <mergeCell ref="M10:P10"/>
    <mergeCell ref="R10:U10"/>
    <mergeCell ref="B11:F11"/>
    <mergeCell ref="G11:K11"/>
    <mergeCell ref="L11:P11"/>
    <mergeCell ref="Q11:U11"/>
    <mergeCell ref="V11:Z11"/>
    <mergeCell ref="AA11:AE11"/>
    <mergeCell ref="W12:Z12"/>
    <mergeCell ref="AB12:AE12"/>
    <mergeCell ref="C14:F14"/>
    <mergeCell ref="H14:K14"/>
    <mergeCell ref="M14:P14"/>
    <mergeCell ref="R14:U14"/>
    <mergeCell ref="B15:F15"/>
    <mergeCell ref="G15:K15"/>
    <mergeCell ref="L15:P15"/>
    <mergeCell ref="Q15:U15"/>
    <mergeCell ref="V15:Z15"/>
    <mergeCell ref="W16:Z16"/>
    <mergeCell ref="C18:F18"/>
    <mergeCell ref="H18:K18"/>
    <mergeCell ref="M18:P18"/>
    <mergeCell ref="R18:U18"/>
    <mergeCell ref="V5:V6"/>
    <mergeCell ref="V9:V10"/>
    <mergeCell ref="V13:V14"/>
    <mergeCell ref="V17:V18"/>
    <mergeCell ref="AA13:AA14"/>
    <mergeCell ref="W5:Z6"/>
    <mergeCell ref="W9:Z10"/>
    <mergeCell ref="W13:Z14"/>
    <mergeCell ref="W17:Z18"/>
    <mergeCell ref="AB13:AE14"/>
  </mergeCells>
  <conditionalFormatting sqref="M4">
    <cfRule type="cellIs" dxfId="0" priority="19" operator="equal">
      <formula>0</formula>
    </cfRule>
  </conditionalFormatting>
  <conditionalFormatting sqref="N4">
    <cfRule type="cellIs" dxfId="0" priority="20" operator="equal">
      <formula>0</formula>
    </cfRule>
  </conditionalFormatting>
  <conditionalFormatting sqref="R4">
    <cfRule type="cellIs" dxfId="0" priority="22" operator="equal">
      <formula>0</formula>
    </cfRule>
  </conditionalFormatting>
  <conditionalFormatting sqref="S4">
    <cfRule type="cellIs" dxfId="0" priority="23" operator="equal">
      <formula>0</formula>
    </cfRule>
  </conditionalFormatting>
  <conditionalFormatting sqref="M8">
    <cfRule type="cellIs" dxfId="0" priority="25" operator="equal">
      <formula>0</formula>
    </cfRule>
  </conditionalFormatting>
  <conditionalFormatting sqref="N8">
    <cfRule type="cellIs" dxfId="0" priority="26" operator="equal">
      <formula>0</formula>
    </cfRule>
  </conditionalFormatting>
  <conditionalFormatting sqref="R8">
    <cfRule type="cellIs" dxfId="0" priority="1" operator="equal">
      <formula>0</formula>
    </cfRule>
  </conditionalFormatting>
  <conditionalFormatting sqref="S8">
    <cfRule type="cellIs" dxfId="0" priority="2" operator="equal">
      <formula>0</formula>
    </cfRule>
  </conditionalFormatting>
  <conditionalFormatting sqref="M12">
    <cfRule type="cellIs" dxfId="0" priority="16" operator="equal">
      <formula>0</formula>
    </cfRule>
  </conditionalFormatting>
  <conditionalFormatting sqref="N12">
    <cfRule type="cellIs" dxfId="0" priority="17" operator="equal">
      <formula>0</formula>
    </cfRule>
  </conditionalFormatting>
  <conditionalFormatting sqref="R12">
    <cfRule type="cellIs" dxfId="0" priority="4" operator="equal">
      <formula>0</formula>
    </cfRule>
  </conditionalFormatting>
  <conditionalFormatting sqref="S12">
    <cfRule type="cellIs" dxfId="0" priority="5" operator="equal">
      <formula>0</formula>
    </cfRule>
  </conditionalFormatting>
  <conditionalFormatting sqref="C16">
    <cfRule type="cellIs" dxfId="0" priority="31" operator="equal">
      <formula>0</formula>
    </cfRule>
  </conditionalFormatting>
  <conditionalFormatting sqref="D16">
    <cfRule type="cellIs" dxfId="0" priority="32" operator="equal">
      <formula>0</formula>
    </cfRule>
  </conditionalFormatting>
  <conditionalFormatting sqref="M16">
    <cfRule type="cellIs" dxfId="0" priority="13" operator="equal">
      <formula>0</formula>
    </cfRule>
  </conditionalFormatting>
  <conditionalFormatting sqref="N16">
    <cfRule type="cellIs" dxfId="0" priority="14" operator="equal">
      <formula>0</formula>
    </cfRule>
  </conditionalFormatting>
  <conditionalFormatting sqref="R16">
    <cfRule type="cellIs" dxfId="0" priority="10" operator="equal">
      <formula>0</formula>
    </cfRule>
  </conditionalFormatting>
  <conditionalFormatting sqref="S16">
    <cfRule type="cellIs" dxfId="0" priority="11" operator="equal">
      <formula>0</formula>
    </cfRule>
  </conditionalFormatting>
  <conditionalFormatting sqref="C4:D5 H4:I5 H16:I17 H12:I13 C12:D13 H8:I9 C8:D9">
    <cfRule type="cellIs" dxfId="1" priority="44" operator="equal">
      <formula>0</formula>
    </cfRule>
  </conditionalFormatting>
  <conditionalFormatting sqref="C4 H16 H4 H12 C12 C8 H8">
    <cfRule type="cellIs" dxfId="0" priority="40" operator="equal">
      <formula>0</formula>
    </cfRule>
  </conditionalFormatting>
  <conditionalFormatting sqref="D4 I16 I8 I12 D12 D8 I4">
    <cfRule type="cellIs" dxfId="0" priority="41" operator="equal">
      <formula>0</formula>
    </cfRule>
  </conditionalFormatting>
  <conditionalFormatting sqref="M4:N5">
    <cfRule type="cellIs" dxfId="1" priority="21" operator="equal">
      <formula>0</formula>
    </cfRule>
  </conditionalFormatting>
  <conditionalFormatting sqref="R4:S5">
    <cfRule type="cellIs" dxfId="1" priority="24" operator="equal">
      <formula>0</formula>
    </cfRule>
  </conditionalFormatting>
  <conditionalFormatting sqref="M8:N9">
    <cfRule type="cellIs" dxfId="1" priority="27" operator="equal">
      <formula>0</formula>
    </cfRule>
  </conditionalFormatting>
  <conditionalFormatting sqref="R8:S9">
    <cfRule type="cellIs" dxfId="1" priority="3" operator="equal">
      <formula>0</formula>
    </cfRule>
  </conditionalFormatting>
  <conditionalFormatting sqref="M12:N13">
    <cfRule type="cellIs" dxfId="1" priority="18" operator="equal">
      <formula>0</formula>
    </cfRule>
  </conditionalFormatting>
  <conditionalFormatting sqref="R12:S13">
    <cfRule type="cellIs" dxfId="1" priority="6" operator="equal">
      <formula>0</formula>
    </cfRule>
  </conditionalFormatting>
  <conditionalFormatting sqref="C16:D17">
    <cfRule type="cellIs" dxfId="1" priority="33" operator="equal">
      <formula>0</formula>
    </cfRule>
  </conditionalFormatting>
  <conditionalFormatting sqref="M16:N17">
    <cfRule type="cellIs" dxfId="1" priority="15" operator="equal">
      <formula>0</formula>
    </cfRule>
  </conditionalFormatting>
  <conditionalFormatting sqref="R16:S17">
    <cfRule type="cellIs" dxfId="1" priority="12" operator="equal">
      <formula>0</formula>
    </cfRule>
  </conditionalFormatting>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Z47"/>
  <sheetViews>
    <sheetView showGridLines="0" zoomScale="70" zoomScaleNormal="70" workbookViewId="0">
      <selection activeCell="C9" sqref="C9"/>
    </sheetView>
  </sheetViews>
  <sheetFormatPr defaultColWidth="8.89090909090909" defaultRowHeight="16.5"/>
  <cols>
    <col min="1" max="1" width="8.89090909090909" style="11"/>
    <col min="2" max="2" width="5.78181818181818" style="11" customWidth="1"/>
    <col min="3" max="4" width="8.78181818181818" style="11" customWidth="1"/>
    <col min="5" max="5" width="5.78181818181818" style="11" customWidth="1"/>
    <col min="6" max="6" width="14.7818181818182" style="11" customWidth="1"/>
    <col min="7" max="7" width="5.78181818181818" style="11" customWidth="1"/>
    <col min="8" max="9" width="8.78181818181818" style="11" customWidth="1"/>
    <col min="10" max="10" width="5.78181818181818" style="11" customWidth="1"/>
    <col min="11" max="11" width="14.7818181818182" style="11" customWidth="1"/>
    <col min="12" max="12" width="5.78181818181818" style="11" customWidth="1"/>
    <col min="13" max="14" width="8.78181818181818" style="11" customWidth="1"/>
    <col min="15" max="15" width="5.78181818181818" style="11" customWidth="1"/>
    <col min="16" max="16" width="14.7818181818182" style="11" customWidth="1"/>
    <col min="17" max="17" width="5.78181818181818" style="11" customWidth="1"/>
    <col min="18" max="19" width="8.78181818181818" style="11" customWidth="1"/>
    <col min="20" max="20" width="5.78181818181818" style="11" customWidth="1"/>
    <col min="21" max="21" width="14.7818181818182" style="11" customWidth="1"/>
    <col min="22" max="22" width="5.70909090909091" style="11" customWidth="1"/>
    <col min="23" max="24" width="8.89090909090909" style="11"/>
    <col min="25" max="25" width="6.66363636363636" style="11" customWidth="1"/>
    <col min="26" max="26" width="13.8545454545455" style="11" customWidth="1"/>
    <col min="27" max="16384" width="8.89090909090909" style="11"/>
  </cols>
  <sheetData>
    <row r="1" ht="61" customHeight="1" spans="2:26">
      <c r="B1" s="92" t="s">
        <v>694</v>
      </c>
      <c r="C1" s="93"/>
      <c r="D1" s="93"/>
      <c r="E1" s="93"/>
      <c r="F1" s="93"/>
      <c r="G1" s="94" t="s">
        <v>695</v>
      </c>
      <c r="H1" s="95"/>
      <c r="I1" s="95"/>
      <c r="J1" s="95"/>
      <c r="K1" s="95"/>
      <c r="L1" s="106"/>
      <c r="M1" s="16"/>
      <c r="N1" s="16"/>
      <c r="O1" s="16"/>
      <c r="P1" s="16"/>
      <c r="Q1" s="106"/>
      <c r="R1" s="16"/>
      <c r="S1" s="16"/>
      <c r="T1" s="16"/>
      <c r="U1" s="16"/>
      <c r="V1" s="113" t="s">
        <v>498</v>
      </c>
      <c r="W1" s="114"/>
      <c r="X1" s="114"/>
      <c r="Y1" s="114"/>
      <c r="Z1" s="114"/>
    </row>
    <row r="2" ht="12" customHeight="1" spans="2:21">
      <c r="B2" s="96"/>
      <c r="C2" s="18"/>
      <c r="D2" s="18"/>
      <c r="E2" s="18"/>
      <c r="F2" s="18"/>
      <c r="G2" s="96"/>
      <c r="H2" s="18"/>
      <c r="I2" s="18"/>
      <c r="J2" s="18"/>
      <c r="K2" s="18"/>
      <c r="L2" s="96"/>
      <c r="M2" s="18"/>
      <c r="N2" s="18"/>
      <c r="O2" s="18"/>
      <c r="P2" s="18"/>
      <c r="Q2" s="96"/>
      <c r="R2" s="18"/>
      <c r="S2" s="18"/>
      <c r="T2" s="18"/>
      <c r="U2" s="18"/>
    </row>
    <row r="3" ht="15" customHeight="1" spans="2:26">
      <c r="B3" s="20"/>
      <c r="C3" s="20"/>
      <c r="D3" s="20"/>
      <c r="E3" s="20"/>
      <c r="F3" s="20"/>
      <c r="G3" s="20"/>
      <c r="H3" s="20"/>
      <c r="I3" s="20"/>
      <c r="J3" s="20"/>
      <c r="K3" s="20"/>
      <c r="L3" s="20"/>
      <c r="M3" s="20"/>
      <c r="N3" s="20"/>
      <c r="O3" s="20"/>
      <c r="P3" s="20"/>
      <c r="Q3" s="20"/>
      <c r="R3" s="20"/>
      <c r="S3" s="20"/>
      <c r="T3" s="20"/>
      <c r="U3" s="20"/>
      <c r="V3" s="20" t="s">
        <v>46</v>
      </c>
      <c r="W3" s="20"/>
      <c r="X3" s="20"/>
      <c r="Y3" s="20"/>
      <c r="Z3" s="128"/>
    </row>
    <row r="4" ht="48" customHeight="1" spans="2:26">
      <c r="B4" s="25" t="s">
        <v>47</v>
      </c>
      <c r="C4" s="48">
        <v>0</v>
      </c>
      <c r="D4" s="68">
        <v>0</v>
      </c>
      <c r="E4" s="25" t="s">
        <v>48</v>
      </c>
      <c r="F4" s="69"/>
      <c r="G4" s="25" t="s">
        <v>47</v>
      </c>
      <c r="H4" s="48">
        <v>0</v>
      </c>
      <c r="I4" s="68">
        <v>0</v>
      </c>
      <c r="J4" s="25" t="s">
        <v>48</v>
      </c>
      <c r="K4" s="69"/>
      <c r="L4" s="25" t="s">
        <v>47</v>
      </c>
      <c r="M4" s="48">
        <v>0</v>
      </c>
      <c r="N4" s="68">
        <v>0</v>
      </c>
      <c r="O4" s="25" t="s">
        <v>48</v>
      </c>
      <c r="P4" s="69"/>
      <c r="Q4" s="25" t="s">
        <v>47</v>
      </c>
      <c r="R4" s="48">
        <v>0</v>
      </c>
      <c r="S4" s="68">
        <v>0</v>
      </c>
      <c r="T4" s="25" t="s">
        <v>48</v>
      </c>
      <c r="U4" s="69"/>
      <c r="V4" s="25" t="s">
        <v>50</v>
      </c>
      <c r="W4" s="115"/>
      <c r="X4" s="116"/>
      <c r="Y4" s="116"/>
      <c r="Z4" s="116"/>
    </row>
    <row r="5" ht="48" customHeight="1" spans="2:26">
      <c r="B5" s="25" t="s">
        <v>52</v>
      </c>
      <c r="C5" s="49">
        <v>0</v>
      </c>
      <c r="D5" s="70">
        <v>0</v>
      </c>
      <c r="E5" s="25" t="s">
        <v>53</v>
      </c>
      <c r="F5" s="69"/>
      <c r="G5" s="25" t="s">
        <v>52</v>
      </c>
      <c r="H5" s="49">
        <v>0</v>
      </c>
      <c r="I5" s="70">
        <v>0</v>
      </c>
      <c r="J5" s="25" t="s">
        <v>55</v>
      </c>
      <c r="K5" s="69"/>
      <c r="L5" s="25" t="s">
        <v>52</v>
      </c>
      <c r="M5" s="49">
        <v>0</v>
      </c>
      <c r="N5" s="70">
        <v>0</v>
      </c>
      <c r="O5" s="25" t="s">
        <v>55</v>
      </c>
      <c r="P5" s="69"/>
      <c r="Q5" s="25" t="s">
        <v>52</v>
      </c>
      <c r="R5" s="49">
        <v>0</v>
      </c>
      <c r="S5" s="70">
        <v>0</v>
      </c>
      <c r="T5" s="25" t="s">
        <v>55</v>
      </c>
      <c r="U5" s="69"/>
      <c r="V5" s="27" t="s">
        <v>56</v>
      </c>
      <c r="W5" s="117"/>
      <c r="X5" s="118"/>
      <c r="Y5" s="118"/>
      <c r="Z5" s="118"/>
    </row>
    <row r="6" ht="70" customHeight="1" spans="2:26">
      <c r="B6" s="33" t="s">
        <v>58</v>
      </c>
      <c r="C6" s="97"/>
      <c r="D6" s="97"/>
      <c r="E6" s="97"/>
      <c r="F6" s="97"/>
      <c r="G6" s="33" t="s">
        <v>58</v>
      </c>
      <c r="H6" s="98"/>
      <c r="I6" s="98"/>
      <c r="J6" s="98"/>
      <c r="K6" s="98"/>
      <c r="L6" s="33" t="s">
        <v>58</v>
      </c>
      <c r="M6" s="107"/>
      <c r="N6" s="108"/>
      <c r="O6" s="108"/>
      <c r="P6" s="108"/>
      <c r="Q6" s="33" t="s">
        <v>58</v>
      </c>
      <c r="R6" s="112"/>
      <c r="S6" s="112"/>
      <c r="T6" s="112"/>
      <c r="U6" s="112"/>
      <c r="V6" s="33"/>
      <c r="W6" s="119"/>
      <c r="X6" s="120"/>
      <c r="Y6" s="120"/>
      <c r="Z6" s="120"/>
    </row>
    <row r="7" ht="15" customHeight="1" spans="2:26">
      <c r="B7" s="45"/>
      <c r="C7" s="45"/>
      <c r="D7" s="45"/>
      <c r="E7" s="45"/>
      <c r="F7" s="45"/>
      <c r="G7" s="45"/>
      <c r="H7" s="45"/>
      <c r="I7" s="45"/>
      <c r="J7" s="45"/>
      <c r="K7" s="45"/>
      <c r="L7" s="45"/>
      <c r="M7" s="45"/>
      <c r="N7" s="45"/>
      <c r="O7" s="45"/>
      <c r="P7" s="45"/>
      <c r="Q7" s="45"/>
      <c r="R7" s="45"/>
      <c r="S7" s="45"/>
      <c r="T7" s="45"/>
      <c r="U7" s="45"/>
      <c r="V7" s="20" t="s">
        <v>67</v>
      </c>
      <c r="W7" s="20"/>
      <c r="X7" s="20"/>
      <c r="Y7" s="20"/>
      <c r="Z7" s="129"/>
    </row>
    <row r="8" ht="48" customHeight="1" spans="2:26">
      <c r="B8" s="25" t="s">
        <v>47</v>
      </c>
      <c r="C8" s="48">
        <v>0</v>
      </c>
      <c r="D8" s="68">
        <v>0</v>
      </c>
      <c r="E8" s="25" t="s">
        <v>48</v>
      </c>
      <c r="F8" s="69"/>
      <c r="G8" s="25" t="s">
        <v>47</v>
      </c>
      <c r="H8" s="48">
        <v>0</v>
      </c>
      <c r="I8" s="68">
        <v>0</v>
      </c>
      <c r="J8" s="25" t="s">
        <v>48</v>
      </c>
      <c r="K8" s="69"/>
      <c r="L8" s="25" t="s">
        <v>47</v>
      </c>
      <c r="M8" s="48">
        <v>0</v>
      </c>
      <c r="N8" s="68">
        <v>0</v>
      </c>
      <c r="O8" s="25" t="s">
        <v>48</v>
      </c>
      <c r="P8" s="69"/>
      <c r="Q8" s="25" t="s">
        <v>47</v>
      </c>
      <c r="R8" s="48">
        <v>0</v>
      </c>
      <c r="S8" s="68">
        <v>0</v>
      </c>
      <c r="T8" s="25" t="s">
        <v>48</v>
      </c>
      <c r="U8" s="69"/>
      <c r="V8" s="25" t="s">
        <v>50</v>
      </c>
      <c r="W8" s="121"/>
      <c r="X8" s="122"/>
      <c r="Y8" s="122"/>
      <c r="Z8" s="130"/>
    </row>
    <row r="9" ht="48" customHeight="1" spans="2:26">
      <c r="B9" s="25" t="s">
        <v>52</v>
      </c>
      <c r="C9" s="49">
        <v>0</v>
      </c>
      <c r="D9" s="70">
        <v>0</v>
      </c>
      <c r="E9" s="25" t="s">
        <v>55</v>
      </c>
      <c r="F9" s="69"/>
      <c r="G9" s="25" t="s">
        <v>52</v>
      </c>
      <c r="H9" s="49">
        <v>0</v>
      </c>
      <c r="I9" s="70">
        <v>0</v>
      </c>
      <c r="J9" s="25" t="s">
        <v>55</v>
      </c>
      <c r="K9" s="69"/>
      <c r="L9" s="25" t="s">
        <v>52</v>
      </c>
      <c r="M9" s="49">
        <v>0</v>
      </c>
      <c r="N9" s="70">
        <v>0</v>
      </c>
      <c r="O9" s="25" t="s">
        <v>55</v>
      </c>
      <c r="P9" s="69"/>
      <c r="Q9" s="25" t="s">
        <v>52</v>
      </c>
      <c r="R9" s="49">
        <v>0</v>
      </c>
      <c r="S9" s="70">
        <v>0</v>
      </c>
      <c r="T9" s="25" t="s">
        <v>55</v>
      </c>
      <c r="U9" s="69"/>
      <c r="V9" s="27" t="s">
        <v>56</v>
      </c>
      <c r="W9" s="123"/>
      <c r="X9" s="118"/>
      <c r="Y9" s="118"/>
      <c r="Z9" s="131"/>
    </row>
    <row r="10" ht="70" customHeight="1" spans="2:26">
      <c r="B10" s="99" t="s">
        <v>58</v>
      </c>
      <c r="C10" s="100"/>
      <c r="D10" s="101"/>
      <c r="E10" s="101"/>
      <c r="F10" s="101"/>
      <c r="G10" s="99" t="s">
        <v>58</v>
      </c>
      <c r="H10" s="102"/>
      <c r="I10" s="109"/>
      <c r="J10" s="109"/>
      <c r="K10" s="109"/>
      <c r="L10" s="99" t="s">
        <v>58</v>
      </c>
      <c r="M10" s="110"/>
      <c r="N10" s="111"/>
      <c r="O10" s="111"/>
      <c r="P10" s="111"/>
      <c r="Q10" s="99" t="s">
        <v>58</v>
      </c>
      <c r="R10" s="124"/>
      <c r="S10" s="101"/>
      <c r="T10" s="101"/>
      <c r="U10" s="101"/>
      <c r="V10" s="33"/>
      <c r="W10" s="119"/>
      <c r="X10" s="120"/>
      <c r="Y10" s="120"/>
      <c r="Z10" s="132"/>
    </row>
    <row r="11" ht="15" customHeight="1" spans="2:26">
      <c r="B11" s="35"/>
      <c r="C11" s="35"/>
      <c r="D11" s="35"/>
      <c r="E11" s="35"/>
      <c r="F11" s="35"/>
      <c r="G11" s="35"/>
      <c r="H11" s="35"/>
      <c r="I11" s="35"/>
      <c r="J11" s="35"/>
      <c r="K11" s="35"/>
      <c r="L11" s="35"/>
      <c r="M11" s="35"/>
      <c r="N11" s="35"/>
      <c r="O11" s="35"/>
      <c r="P11" s="35"/>
      <c r="Q11" s="35"/>
      <c r="R11" s="35"/>
      <c r="S11" s="35"/>
      <c r="T11" s="35"/>
      <c r="U11" s="35"/>
      <c r="V11" s="20" t="s">
        <v>79</v>
      </c>
      <c r="W11" s="20"/>
      <c r="X11" s="20"/>
      <c r="Y11" s="20"/>
      <c r="Z11" s="129"/>
    </row>
    <row r="12" ht="48" customHeight="1" spans="2:26">
      <c r="B12" s="25" t="s">
        <v>47</v>
      </c>
      <c r="C12" s="48">
        <v>0</v>
      </c>
      <c r="D12" s="68">
        <v>0</v>
      </c>
      <c r="E12" s="25" t="s">
        <v>48</v>
      </c>
      <c r="F12" s="69"/>
      <c r="G12" s="25" t="s">
        <v>47</v>
      </c>
      <c r="H12" s="48">
        <v>0</v>
      </c>
      <c r="I12" s="68">
        <v>0</v>
      </c>
      <c r="J12" s="25" t="s">
        <v>48</v>
      </c>
      <c r="K12" s="69"/>
      <c r="L12" s="25" t="s">
        <v>47</v>
      </c>
      <c r="M12" s="48">
        <v>0</v>
      </c>
      <c r="N12" s="68">
        <v>0</v>
      </c>
      <c r="O12" s="25" t="s">
        <v>48</v>
      </c>
      <c r="P12" s="69"/>
      <c r="Q12" s="25" t="s">
        <v>47</v>
      </c>
      <c r="R12" s="48">
        <v>0</v>
      </c>
      <c r="S12" s="68">
        <v>0</v>
      </c>
      <c r="T12" s="25" t="s">
        <v>48</v>
      </c>
      <c r="U12" s="69"/>
      <c r="V12" s="25" t="s">
        <v>50</v>
      </c>
      <c r="W12" s="121"/>
      <c r="X12" s="122"/>
      <c r="Y12" s="122"/>
      <c r="Z12" s="130"/>
    </row>
    <row r="13" ht="48" customHeight="1" spans="2:26">
      <c r="B13" s="25" t="s">
        <v>52</v>
      </c>
      <c r="C13" s="49">
        <v>0</v>
      </c>
      <c r="D13" s="70">
        <v>0</v>
      </c>
      <c r="E13" s="25" t="s">
        <v>55</v>
      </c>
      <c r="F13" s="69"/>
      <c r="G13" s="25" t="s">
        <v>52</v>
      </c>
      <c r="H13" s="49">
        <v>0</v>
      </c>
      <c r="I13" s="70">
        <v>0</v>
      </c>
      <c r="J13" s="25" t="s">
        <v>55</v>
      </c>
      <c r="K13" s="69"/>
      <c r="L13" s="25" t="s">
        <v>52</v>
      </c>
      <c r="M13" s="49">
        <v>0</v>
      </c>
      <c r="N13" s="70">
        <v>0</v>
      </c>
      <c r="O13" s="25" t="s">
        <v>55</v>
      </c>
      <c r="P13" s="69"/>
      <c r="Q13" s="25" t="s">
        <v>52</v>
      </c>
      <c r="R13" s="49">
        <v>0</v>
      </c>
      <c r="S13" s="70">
        <v>0</v>
      </c>
      <c r="T13" s="25" t="s">
        <v>55</v>
      </c>
      <c r="U13" s="69"/>
      <c r="V13" s="27" t="s">
        <v>56</v>
      </c>
      <c r="W13" s="125"/>
      <c r="X13" s="118"/>
      <c r="Y13" s="118"/>
      <c r="Z13" s="131"/>
    </row>
    <row r="14" ht="70" customHeight="1" spans="2:26">
      <c r="B14" s="33" t="s">
        <v>58</v>
      </c>
      <c r="C14" s="103"/>
      <c r="D14" s="104"/>
      <c r="E14" s="104"/>
      <c r="F14" s="104"/>
      <c r="G14" s="33" t="s">
        <v>58</v>
      </c>
      <c r="H14" s="103"/>
      <c r="I14" s="97"/>
      <c r="J14" s="97"/>
      <c r="K14" s="97"/>
      <c r="L14" s="33" t="s">
        <v>58</v>
      </c>
      <c r="M14" s="112"/>
      <c r="N14" s="112"/>
      <c r="O14" s="112"/>
      <c r="P14" s="112"/>
      <c r="Q14" s="33" t="s">
        <v>58</v>
      </c>
      <c r="R14" s="126"/>
      <c r="S14" s="126"/>
      <c r="T14" s="126"/>
      <c r="U14" s="126"/>
      <c r="V14" s="33"/>
      <c r="W14" s="119"/>
      <c r="X14" s="120"/>
      <c r="Y14" s="120"/>
      <c r="Z14" s="132"/>
    </row>
    <row r="15" ht="15" customHeight="1" spans="2:26">
      <c r="B15" s="45"/>
      <c r="C15" s="45"/>
      <c r="D15" s="45"/>
      <c r="E15" s="45"/>
      <c r="F15" s="45"/>
      <c r="G15" s="45"/>
      <c r="H15" s="45"/>
      <c r="I15" s="45"/>
      <c r="J15" s="45"/>
      <c r="K15" s="45"/>
      <c r="L15" s="45"/>
      <c r="M15" s="45"/>
      <c r="N15" s="45"/>
      <c r="O15" s="45"/>
      <c r="P15" s="45"/>
      <c r="Q15" s="45"/>
      <c r="R15" s="45"/>
      <c r="S15" s="45"/>
      <c r="T15" s="45"/>
      <c r="U15" s="45"/>
      <c r="V15" s="45"/>
      <c r="W15" s="45"/>
      <c r="X15" s="45"/>
      <c r="Y15" s="45"/>
      <c r="Z15" s="133"/>
    </row>
    <row r="16" ht="48" customHeight="1" spans="2:26">
      <c r="B16" s="25" t="s">
        <v>47</v>
      </c>
      <c r="C16" s="48">
        <v>0</v>
      </c>
      <c r="D16" s="68">
        <v>0</v>
      </c>
      <c r="E16" s="25" t="s">
        <v>48</v>
      </c>
      <c r="F16" s="69"/>
      <c r="G16" s="25" t="s">
        <v>47</v>
      </c>
      <c r="H16" s="48">
        <v>0</v>
      </c>
      <c r="I16" s="68">
        <v>0</v>
      </c>
      <c r="J16" s="25" t="s">
        <v>48</v>
      </c>
      <c r="K16" s="69"/>
      <c r="L16" s="25" t="s">
        <v>47</v>
      </c>
      <c r="M16" s="48">
        <v>0</v>
      </c>
      <c r="N16" s="68">
        <v>0</v>
      </c>
      <c r="O16" s="25" t="s">
        <v>48</v>
      </c>
      <c r="P16" s="69"/>
      <c r="Q16" s="25" t="s">
        <v>47</v>
      </c>
      <c r="R16" s="48">
        <v>0</v>
      </c>
      <c r="S16" s="68">
        <v>0</v>
      </c>
      <c r="T16" s="25" t="s">
        <v>48</v>
      </c>
      <c r="U16" s="69"/>
      <c r="V16" s="25" t="s">
        <v>47</v>
      </c>
      <c r="W16" s="48">
        <v>0</v>
      </c>
      <c r="X16" s="68">
        <v>0</v>
      </c>
      <c r="Y16" s="25" t="s">
        <v>48</v>
      </c>
      <c r="Z16" s="134"/>
    </row>
    <row r="17" ht="48" customHeight="1" spans="2:26">
      <c r="B17" s="25" t="s">
        <v>52</v>
      </c>
      <c r="C17" s="49">
        <v>0</v>
      </c>
      <c r="D17" s="70">
        <v>0</v>
      </c>
      <c r="E17" s="25" t="s">
        <v>55</v>
      </c>
      <c r="F17" s="69"/>
      <c r="G17" s="25" t="s">
        <v>52</v>
      </c>
      <c r="H17" s="49">
        <v>0</v>
      </c>
      <c r="I17" s="70">
        <v>0</v>
      </c>
      <c r="J17" s="25" t="s">
        <v>55</v>
      </c>
      <c r="K17" s="69"/>
      <c r="L17" s="25" t="s">
        <v>52</v>
      </c>
      <c r="M17" s="49">
        <v>0</v>
      </c>
      <c r="N17" s="70">
        <v>0</v>
      </c>
      <c r="O17" s="25" t="s">
        <v>55</v>
      </c>
      <c r="P17" s="69"/>
      <c r="Q17" s="25" t="s">
        <v>52</v>
      </c>
      <c r="R17" s="49">
        <v>0</v>
      </c>
      <c r="S17" s="70">
        <v>0</v>
      </c>
      <c r="T17" s="25" t="s">
        <v>55</v>
      </c>
      <c r="U17" s="69"/>
      <c r="V17" s="25" t="s">
        <v>52</v>
      </c>
      <c r="W17" s="49">
        <v>0</v>
      </c>
      <c r="X17" s="70">
        <v>0</v>
      </c>
      <c r="Y17" s="25" t="s">
        <v>55</v>
      </c>
      <c r="Z17" s="134"/>
    </row>
    <row r="18" ht="70" customHeight="1" spans="2:26">
      <c r="B18" s="54" t="s">
        <v>58</v>
      </c>
      <c r="C18" s="105"/>
      <c r="D18" s="55"/>
      <c r="E18" s="55"/>
      <c r="F18" s="55"/>
      <c r="G18" s="54" t="s">
        <v>58</v>
      </c>
      <c r="H18" s="105"/>
      <c r="I18" s="105"/>
      <c r="J18" s="105"/>
      <c r="K18" s="105"/>
      <c r="L18" s="54" t="s">
        <v>58</v>
      </c>
      <c r="M18" s="105"/>
      <c r="N18" s="55"/>
      <c r="O18" s="55"/>
      <c r="P18" s="55"/>
      <c r="Q18" s="54" t="s">
        <v>58</v>
      </c>
      <c r="R18" s="105"/>
      <c r="S18" s="105"/>
      <c r="T18" s="105"/>
      <c r="U18" s="105"/>
      <c r="V18" s="54" t="s">
        <v>58</v>
      </c>
      <c r="W18" s="127"/>
      <c r="X18" s="127"/>
      <c r="Y18" s="127"/>
      <c r="Z18" s="135"/>
    </row>
    <row r="47" spans="8:8">
      <c r="H47"/>
    </row>
  </sheetData>
  <sheetProtection selectLockedCells="1" formatCells="0" formatColumns="0" formatRows="0" insertRows="0" insertColumns="0" insertHyperlinks="0" deleteColumns="0" deleteRows="0" sort="0" autoFilter="0" pivotTables="0"/>
  <mergeCells count="51">
    <mergeCell ref="B1:F1"/>
    <mergeCell ref="G1:K1"/>
    <mergeCell ref="L1:P1"/>
    <mergeCell ref="Q1:U1"/>
    <mergeCell ref="V1:Z1"/>
    <mergeCell ref="B3:F3"/>
    <mergeCell ref="G3:K3"/>
    <mergeCell ref="L3:P3"/>
    <mergeCell ref="Q3:U3"/>
    <mergeCell ref="V3:Z3"/>
    <mergeCell ref="W4:Z4"/>
    <mergeCell ref="C6:F6"/>
    <mergeCell ref="H6:K6"/>
    <mergeCell ref="M6:P6"/>
    <mergeCell ref="R6:U6"/>
    <mergeCell ref="B7:F7"/>
    <mergeCell ref="G7:K7"/>
    <mergeCell ref="L7:P7"/>
    <mergeCell ref="Q7:U7"/>
    <mergeCell ref="V7:Z7"/>
    <mergeCell ref="W8:Z8"/>
    <mergeCell ref="C10:F10"/>
    <mergeCell ref="H10:K10"/>
    <mergeCell ref="M10:P10"/>
    <mergeCell ref="R10:U10"/>
    <mergeCell ref="B11:F11"/>
    <mergeCell ref="G11:K11"/>
    <mergeCell ref="L11:P11"/>
    <mergeCell ref="Q11:U11"/>
    <mergeCell ref="V11:Z11"/>
    <mergeCell ref="W12:Z12"/>
    <mergeCell ref="C14:F14"/>
    <mergeCell ref="H14:K14"/>
    <mergeCell ref="M14:P14"/>
    <mergeCell ref="R14:U14"/>
    <mergeCell ref="B15:F15"/>
    <mergeCell ref="G15:K15"/>
    <mergeCell ref="L15:P15"/>
    <mergeCell ref="Q15:U15"/>
    <mergeCell ref="V15:Z15"/>
    <mergeCell ref="C18:F18"/>
    <mergeCell ref="H18:K18"/>
    <mergeCell ref="M18:P18"/>
    <mergeCell ref="R18:U18"/>
    <mergeCell ref="W18:Z18"/>
    <mergeCell ref="V5:V6"/>
    <mergeCell ref="V9:V10"/>
    <mergeCell ref="V13:V14"/>
    <mergeCell ref="W5:Z6"/>
    <mergeCell ref="W9:Z10"/>
    <mergeCell ref="W13:Z14"/>
  </mergeCells>
  <conditionalFormatting sqref="C4:D5 H4:I5 M16:N17 H16:I17 C16:D17 M12:N13 H12:I13 C12:D13 M8:N9 M4:N5 H8:I9 C8:D9">
    <cfRule type="cellIs" dxfId="1" priority="5" operator="equal">
      <formula>0</formula>
    </cfRule>
  </conditionalFormatting>
  <conditionalFormatting sqref="C4 W16 R16 M16 H16 C16 H4 R12 M12 H12 C12 C8 H8 M8 R8 R4 M4">
    <cfRule type="cellIs" dxfId="0" priority="1" operator="equal">
      <formula>0</formula>
    </cfRule>
  </conditionalFormatting>
  <conditionalFormatting sqref="X16 D4 D16 I16 N16 S16 S12 N12 I8 I12 D12 D8 N8 S8 S4 N4 I4">
    <cfRule type="cellIs" dxfId="0" priority="2" operator="equal">
      <formula>0</formula>
    </cfRule>
  </conditionalFormatting>
  <conditionalFormatting sqref="R4:S5 R16:S17 R12:S13 R8:S9">
    <cfRule type="cellIs" dxfId="1" priority="3" operator="equal">
      <formula>0</formula>
    </cfRule>
  </conditionalFormatting>
  <conditionalFormatting sqref="W16:X17">
    <cfRule type="cellIs" dxfId="1" priority="4" operator="equal">
      <formula>0</formula>
    </cfRule>
  </conditionalFormatting>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Q18"/>
  <sheetViews>
    <sheetView showGridLines="0" zoomScale="70" zoomScaleNormal="70" workbookViewId="0">
      <selection activeCell="B7" sqref="B7:E9"/>
    </sheetView>
  </sheetViews>
  <sheetFormatPr defaultColWidth="8.89090909090909" defaultRowHeight="16.5"/>
  <cols>
    <col min="1" max="1" width="9.51818181818182" style="11" customWidth="1"/>
    <col min="2" max="5" width="8.89090909090909" style="11"/>
    <col min="6" max="6" width="4.34545454545455" style="11" customWidth="1"/>
    <col min="7" max="7" width="5.70909090909091" style="11" customWidth="1"/>
    <col min="8" max="8" width="8.89090909090909" style="11"/>
    <col min="9" max="9" width="9.83636363636364" style="11" customWidth="1"/>
    <col min="10" max="10" width="6.97272727272727" style="11" customWidth="1"/>
    <col min="11" max="12" width="8.89090909090909" style="11"/>
    <col min="13" max="13" width="9.51818181818182" style="11" customWidth="1"/>
    <col min="14" max="17" width="8.89090909090909" style="11"/>
    <col min="18" max="18" width="4.34545454545455" style="11" customWidth="1"/>
    <col min="19" max="19" width="5.70909090909091" style="11" customWidth="1"/>
    <col min="20" max="20" width="8.89090909090909" style="11"/>
    <col min="21" max="21" width="9.83636363636364" style="11" customWidth="1"/>
    <col min="22" max="22" width="6.97272727272727" style="11" customWidth="1"/>
    <col min="23" max="24" width="8.89090909090909" style="11"/>
    <col min="25" max="25" width="9.51818181818182" style="11" customWidth="1"/>
    <col min="26" max="29" width="8.89090909090909" style="11"/>
    <col min="30" max="30" width="4.34545454545455" style="11" customWidth="1"/>
    <col min="31" max="31" width="5.70909090909091" style="11" customWidth="1"/>
    <col min="32" max="32" width="8.89090909090909" style="11"/>
    <col min="33" max="33" width="9.83636363636364" style="11" customWidth="1"/>
    <col min="34" max="34" width="6.97272727272727" style="11" customWidth="1"/>
    <col min="35" max="36" width="8.89090909090909" style="11"/>
    <col min="37" max="37" width="9.51818181818182" style="11" customWidth="1"/>
    <col min="38" max="41" width="8.89090909090909" style="11"/>
    <col min="42" max="42" width="4.34545454545455" style="11" customWidth="1"/>
    <col min="43" max="43" width="5.70909090909091" style="11" customWidth="1"/>
    <col min="44" max="44" width="8.89090909090909" style="11"/>
    <col min="45" max="45" width="9.83636363636364" style="11" customWidth="1"/>
    <col min="46" max="46" width="6.97272727272727" style="11" customWidth="1"/>
    <col min="47" max="48" width="8.89090909090909" style="11"/>
    <col min="49" max="49" width="9.51818181818182" style="11" customWidth="1"/>
    <col min="50" max="53" width="8.89090909090909" style="11"/>
    <col min="54" max="54" width="4.34545454545455" style="11" customWidth="1"/>
    <col min="55" max="55" width="5.70909090909091" style="11" customWidth="1"/>
    <col min="56" max="56" width="8.89090909090909" style="11"/>
    <col min="57" max="57" width="9.83636363636364" style="11" customWidth="1"/>
    <col min="58" max="58" width="6.97272727272727" style="11" customWidth="1"/>
    <col min="59" max="60" width="8.89090909090909" style="11"/>
    <col min="61" max="61" width="9.51818181818182" style="11" customWidth="1"/>
    <col min="62" max="65" width="8.89090909090909" style="11"/>
    <col min="66" max="66" width="4.34545454545455" style="11" customWidth="1"/>
    <col min="67" max="67" width="5.70909090909091" style="11" customWidth="1"/>
    <col min="68" max="68" width="8.89090909090909" style="11"/>
    <col min="69" max="69" width="9.83636363636364" style="11" customWidth="1"/>
    <col min="70" max="70" width="6.97272727272727" style="11" customWidth="1"/>
    <col min="71" max="72" width="8.89090909090909" style="11"/>
    <col min="73" max="73" width="9.51818181818182" style="11" customWidth="1"/>
    <col min="74" max="77" width="8.89090909090909" style="11"/>
    <col min="78" max="78" width="4.34545454545455" style="11" customWidth="1"/>
    <col min="79" max="79" width="5.70909090909091" style="11" customWidth="1"/>
    <col min="80" max="80" width="8.89090909090909" style="11"/>
    <col min="81" max="81" width="9.83636363636364" style="11" customWidth="1"/>
    <col min="82" max="82" width="6.97272727272727" style="11" customWidth="1"/>
    <col min="83" max="84" width="8.89090909090909" style="11"/>
    <col min="85" max="85" width="9.51818181818182" style="11" customWidth="1"/>
    <col min="86" max="89" width="8.89090909090909" style="11"/>
    <col min="90" max="90" width="4.34545454545455" style="11" customWidth="1"/>
    <col min="91" max="91" width="5.70909090909091" style="11" customWidth="1"/>
    <col min="92" max="92" width="8.89090909090909" style="11"/>
    <col min="93" max="93" width="9.83636363636364" style="11" customWidth="1"/>
    <col min="94" max="94" width="6.97272727272727" style="11" customWidth="1"/>
    <col min="95" max="16384" width="8.89090909090909" style="11"/>
  </cols>
  <sheetData>
    <row r="1" ht="61" customHeight="1" spans="1:90">
      <c r="A1" s="12" t="str">
        <f>_xlfn.DISPIMG("ID_DC3FF61C4C3A43A8878CE11429382A86",1)</f>
        <v>=DISPIMG("ID_DC3FF61C4C3A43A8878CE11429382A86",1)</v>
      </c>
      <c r="B1" s="13" t="s">
        <v>696</v>
      </c>
      <c r="C1" s="13"/>
      <c r="D1" s="14" t="s">
        <v>697</v>
      </c>
      <c r="E1" s="15"/>
      <c r="F1" s="16"/>
      <c r="M1" s="12" t="str">
        <f>_xlfn.DISPIMG("ID_DC3FF61C4C3A43A8878CE11429382A86",1)</f>
        <v>=DISPIMG("ID_DC3FF61C4C3A43A8878CE11429382A86",1)</v>
      </c>
      <c r="N1" s="13" t="s">
        <v>696</v>
      </c>
      <c r="O1" s="13"/>
      <c r="P1" s="14" t="s">
        <v>697</v>
      </c>
      <c r="Q1" s="15"/>
      <c r="R1" s="16"/>
      <c r="Y1" s="12" t="str">
        <f>_xlfn.DISPIMG("ID_DC3FF61C4C3A43A8878CE11429382A86",1)</f>
        <v>=DISPIMG("ID_DC3FF61C4C3A43A8878CE11429382A86",1)</v>
      </c>
      <c r="Z1" s="13" t="s">
        <v>696</v>
      </c>
      <c r="AA1" s="13"/>
      <c r="AB1" s="14" t="s">
        <v>697</v>
      </c>
      <c r="AC1" s="15"/>
      <c r="AD1" s="16"/>
      <c r="AK1" s="12" t="str">
        <f>_xlfn.DISPIMG("ID_E8432A8329DC429187475324D11B3301",1)</f>
        <v>=DISPIMG("ID_E8432A8329DC429187475324D11B3301",1)</v>
      </c>
      <c r="AL1" s="13" t="s">
        <v>698</v>
      </c>
      <c r="AM1" s="13"/>
      <c r="AN1" s="80" t="s">
        <v>699</v>
      </c>
      <c r="AO1" s="82"/>
      <c r="AP1" s="16"/>
      <c r="AW1" s="12" t="str">
        <f>_xlfn.DISPIMG("ID_E8432A8329DC429187475324D11B3301",1)</f>
        <v>=DISPIMG("ID_E8432A8329DC429187475324D11B3301",1)</v>
      </c>
      <c r="AX1" s="13" t="s">
        <v>698</v>
      </c>
      <c r="AY1" s="13"/>
      <c r="AZ1" s="80" t="s">
        <v>699</v>
      </c>
      <c r="BA1" s="82"/>
      <c r="BB1" s="16"/>
      <c r="BI1" s="12" t="str">
        <f>_xlfn.DISPIMG("ID_A73A0903F4264DAB82ED6940717697CB",1)</f>
        <v>=DISPIMG("ID_A73A0903F4264DAB82ED6940717697CB",1)</v>
      </c>
      <c r="BJ1" s="13" t="s">
        <v>700</v>
      </c>
      <c r="BK1" s="13"/>
      <c r="BL1" s="80" t="s">
        <v>701</v>
      </c>
      <c r="BM1" s="82"/>
      <c r="BN1" s="16"/>
      <c r="BU1" s="12" t="str">
        <f>_xlfn.DISPIMG("ID_A73A0903F4264DAB82ED6940717697CB",1)</f>
        <v>=DISPIMG("ID_A73A0903F4264DAB82ED6940717697CB",1)</v>
      </c>
      <c r="BV1" s="13" t="s">
        <v>700</v>
      </c>
      <c r="BW1" s="13"/>
      <c r="BX1" s="80" t="s">
        <v>701</v>
      </c>
      <c r="BY1" s="82"/>
      <c r="BZ1" s="16"/>
      <c r="CG1" s="12" t="str">
        <f>_xlfn.DISPIMG("ID_A73A0903F4264DAB82ED6940717697CB",1)</f>
        <v>=DISPIMG("ID_A73A0903F4264DAB82ED6940717697CB",1)</v>
      </c>
      <c r="CH1" s="13" t="s">
        <v>700</v>
      </c>
      <c r="CI1" s="13"/>
      <c r="CJ1" s="80" t="s">
        <v>701</v>
      </c>
      <c r="CK1" s="82"/>
      <c r="CL1" s="16"/>
    </row>
    <row r="2" ht="12" customHeight="1" spans="1:90">
      <c r="A2" s="17"/>
      <c r="B2" s="17"/>
      <c r="C2" s="17"/>
      <c r="D2" s="17"/>
      <c r="E2" s="17"/>
      <c r="F2" s="18"/>
      <c r="M2" s="17"/>
      <c r="N2" s="17"/>
      <c r="O2" s="17"/>
      <c r="P2" s="17"/>
      <c r="Q2" s="17"/>
      <c r="R2" s="18"/>
      <c r="Y2" s="17"/>
      <c r="Z2" s="17"/>
      <c r="AA2" s="17"/>
      <c r="AB2" s="17"/>
      <c r="AC2" s="17"/>
      <c r="AD2" s="18"/>
      <c r="AK2" s="17"/>
      <c r="AL2" s="17"/>
      <c r="AM2" s="17"/>
      <c r="AN2" s="17"/>
      <c r="AO2" s="17"/>
      <c r="AP2" s="18"/>
      <c r="AW2" s="17"/>
      <c r="AX2" s="17"/>
      <c r="AY2" s="17"/>
      <c r="AZ2" s="17"/>
      <c r="BA2" s="17"/>
      <c r="BB2" s="18"/>
      <c r="BI2" s="17"/>
      <c r="BJ2" s="17"/>
      <c r="BK2" s="17"/>
      <c r="BL2" s="17"/>
      <c r="BM2" s="17"/>
      <c r="BN2" s="18"/>
      <c r="BU2" s="17"/>
      <c r="BV2" s="17"/>
      <c r="BW2" s="17"/>
      <c r="BX2" s="17"/>
      <c r="BY2" s="17"/>
      <c r="BZ2" s="18"/>
      <c r="CG2" s="17"/>
      <c r="CH2" s="17"/>
      <c r="CI2" s="17"/>
      <c r="CJ2" s="17"/>
      <c r="CK2" s="17"/>
      <c r="CL2" s="18"/>
    </row>
    <row r="3" ht="15" customHeight="1" spans="1:95">
      <c r="A3" s="17"/>
      <c r="B3" s="17"/>
      <c r="C3" s="17"/>
      <c r="D3" s="17"/>
      <c r="E3" s="17"/>
      <c r="F3" s="19" t="s">
        <v>10</v>
      </c>
      <c r="G3" s="20" t="s">
        <v>702</v>
      </c>
      <c r="H3" s="20"/>
      <c r="I3" s="20"/>
      <c r="J3" s="20"/>
      <c r="K3" s="20"/>
      <c r="M3" s="17"/>
      <c r="N3" s="17"/>
      <c r="O3" s="17"/>
      <c r="P3" s="17"/>
      <c r="Q3" s="17"/>
      <c r="R3" s="19" t="s">
        <v>10</v>
      </c>
      <c r="S3" s="20" t="s">
        <v>702</v>
      </c>
      <c r="T3" s="20"/>
      <c r="U3" s="20"/>
      <c r="V3" s="20"/>
      <c r="W3" s="20"/>
      <c r="Y3" s="17"/>
      <c r="Z3" s="17"/>
      <c r="AA3" s="17"/>
      <c r="AB3" s="17"/>
      <c r="AC3" s="17"/>
      <c r="AD3" s="19" t="s">
        <v>10</v>
      </c>
      <c r="AE3" s="20" t="s">
        <v>702</v>
      </c>
      <c r="AF3" s="20"/>
      <c r="AG3" s="20"/>
      <c r="AH3" s="20"/>
      <c r="AI3" s="20"/>
      <c r="AK3" s="17"/>
      <c r="AL3" s="17"/>
      <c r="AM3" s="17"/>
      <c r="AN3" s="17"/>
      <c r="AO3" s="17"/>
      <c r="AP3" s="19" t="s">
        <v>10</v>
      </c>
      <c r="AQ3" s="20" t="s">
        <v>702</v>
      </c>
      <c r="AR3" s="20"/>
      <c r="AS3" s="20"/>
      <c r="AT3" s="20"/>
      <c r="AU3" s="20"/>
      <c r="AW3" s="17"/>
      <c r="AX3" s="17"/>
      <c r="AY3" s="17"/>
      <c r="AZ3" s="17"/>
      <c r="BA3" s="17"/>
      <c r="BB3" s="19" t="s">
        <v>10</v>
      </c>
      <c r="BC3" s="20" t="s">
        <v>702</v>
      </c>
      <c r="BD3" s="20"/>
      <c r="BE3" s="20"/>
      <c r="BF3" s="20"/>
      <c r="BG3" s="20"/>
      <c r="BI3" s="17"/>
      <c r="BJ3" s="17"/>
      <c r="BK3" s="17"/>
      <c r="BL3" s="17"/>
      <c r="BM3" s="17"/>
      <c r="BN3" s="19" t="s">
        <v>10</v>
      </c>
      <c r="BO3" s="20" t="s">
        <v>702</v>
      </c>
      <c r="BP3" s="20"/>
      <c r="BQ3" s="20"/>
      <c r="BR3" s="20"/>
      <c r="BS3" s="20"/>
      <c r="BU3" s="17"/>
      <c r="BV3" s="17"/>
      <c r="BW3" s="17"/>
      <c r="BX3" s="17"/>
      <c r="BY3" s="17"/>
      <c r="BZ3" s="19" t="s">
        <v>10</v>
      </c>
      <c r="CA3" s="20" t="s">
        <v>702</v>
      </c>
      <c r="CB3" s="20"/>
      <c r="CC3" s="20"/>
      <c r="CD3" s="20"/>
      <c r="CE3" s="20"/>
      <c r="CG3" s="17"/>
      <c r="CH3" s="17"/>
      <c r="CI3" s="17"/>
      <c r="CJ3" s="17"/>
      <c r="CK3" s="17"/>
      <c r="CL3" s="19" t="s">
        <v>10</v>
      </c>
      <c r="CM3" s="20" t="s">
        <v>702</v>
      </c>
      <c r="CN3" s="20"/>
      <c r="CO3" s="20"/>
      <c r="CP3" s="20"/>
      <c r="CQ3" s="20"/>
    </row>
    <row r="4" ht="48" customHeight="1" spans="1:95">
      <c r="A4" s="21" t="str">
        <f>_xlfn.DISPIMG("ID_650E4A34B21B426196708D7D30EC7645",1)</f>
        <v>=DISPIMG("ID_650E4A34B21B426196708D7D30EC7645",1)</v>
      </c>
      <c r="B4" s="21"/>
      <c r="C4" s="22" t="s">
        <v>703</v>
      </c>
      <c r="D4" s="23"/>
      <c r="E4" s="23"/>
      <c r="F4" s="24"/>
      <c r="G4" s="25" t="s">
        <v>704</v>
      </c>
      <c r="H4" s="26" t="s">
        <v>705</v>
      </c>
      <c r="I4" s="56"/>
      <c r="J4" s="56"/>
      <c r="K4" s="57"/>
      <c r="M4" s="21" t="str">
        <f>_xlfn.DISPIMG("ID_8CC09361A8C64EECA9B27477FBBC2B30",1)</f>
        <v>=DISPIMG("ID_8CC09361A8C64EECA9B27477FBBC2B30",1)</v>
      </c>
      <c r="N4" s="21"/>
      <c r="O4" s="22" t="s">
        <v>706</v>
      </c>
      <c r="P4" s="23"/>
      <c r="Q4" s="23"/>
      <c r="R4" s="24"/>
      <c r="S4" s="25" t="s">
        <v>704</v>
      </c>
      <c r="T4" s="26" t="s">
        <v>707</v>
      </c>
      <c r="U4" s="56"/>
      <c r="V4" s="56"/>
      <c r="W4" s="57"/>
      <c r="Y4" s="21" t="str">
        <f>_xlfn.DISPIMG("ID_6D0E85631DA94EC1A33EDB3F8C2E46CB",1)</f>
        <v>=DISPIMG("ID_6D0E85631DA94EC1A33EDB3F8C2E46CB",1)</v>
      </c>
      <c r="Z4" s="21"/>
      <c r="AA4" s="22" t="s">
        <v>708</v>
      </c>
      <c r="AB4" s="23"/>
      <c r="AC4" s="23"/>
      <c r="AD4" s="24"/>
      <c r="AE4" s="25" t="s">
        <v>704</v>
      </c>
      <c r="AF4" s="26" t="s">
        <v>709</v>
      </c>
      <c r="AG4" s="56"/>
      <c r="AH4" s="56"/>
      <c r="AI4" s="57"/>
      <c r="AK4" s="21" t="str">
        <f>_xlfn.DISPIMG("ID_F68FB23C557B439B8A2572C0FBE16F40",1)</f>
        <v>=DISPIMG("ID_F68FB23C557B439B8A2572C0FBE16F40",1)</v>
      </c>
      <c r="AL4" s="21"/>
      <c r="AM4" s="22" t="s">
        <v>710</v>
      </c>
      <c r="AN4" s="23"/>
      <c r="AO4" s="23"/>
      <c r="AP4" s="24"/>
      <c r="AQ4" s="25" t="s">
        <v>704</v>
      </c>
      <c r="AR4" s="36" t="s">
        <v>711</v>
      </c>
      <c r="AS4" s="62"/>
      <c r="AT4" s="62"/>
      <c r="AU4" s="63"/>
      <c r="AW4" s="21" t="str">
        <f>_xlfn.DISPIMG("ID_711A68FC722D47E39FEB7C80579ECDFB",1)</f>
        <v>=DISPIMG("ID_711A68FC722D47E39FEB7C80579ECDFB",1)</v>
      </c>
      <c r="AX4" s="21"/>
      <c r="AY4" s="22" t="s">
        <v>712</v>
      </c>
      <c r="AZ4" s="23"/>
      <c r="BA4" s="23"/>
      <c r="BB4" s="24"/>
      <c r="BC4" s="25" t="s">
        <v>704</v>
      </c>
      <c r="BD4" s="83" t="s">
        <v>713</v>
      </c>
      <c r="BE4" s="86"/>
      <c r="BF4" s="86"/>
      <c r="BG4" s="87"/>
      <c r="BI4" s="21" t="str">
        <f>_xlfn.DISPIMG("ID_429575C20C454685927B901E0BD3B163",1)</f>
        <v>=DISPIMG("ID_429575C20C454685927B901E0BD3B163",1)</v>
      </c>
      <c r="BJ4" s="21"/>
      <c r="BK4" s="22" t="s">
        <v>714</v>
      </c>
      <c r="BL4" s="23"/>
      <c r="BM4" s="23"/>
      <c r="BN4" s="24"/>
      <c r="BO4" s="25" t="s">
        <v>704</v>
      </c>
      <c r="BP4" s="83" t="s">
        <v>715</v>
      </c>
      <c r="BQ4" s="86"/>
      <c r="BR4" s="86"/>
      <c r="BS4" s="87"/>
      <c r="BU4" s="21" t="str">
        <f>_xlfn.DISPIMG("ID_543CEB5128D34C7B86B42FC8E8D28A51",1)</f>
        <v>=DISPIMG("ID_543CEB5128D34C7B86B42FC8E8D28A51",1)</v>
      </c>
      <c r="BV4" s="21"/>
      <c r="BW4" s="22" t="s">
        <v>716</v>
      </c>
      <c r="BX4" s="23"/>
      <c r="BY4" s="23"/>
      <c r="BZ4" s="24"/>
      <c r="CA4" s="25" t="s">
        <v>704</v>
      </c>
      <c r="CB4" s="83" t="s">
        <v>717</v>
      </c>
      <c r="CC4" s="86"/>
      <c r="CD4" s="86"/>
      <c r="CE4" s="87"/>
      <c r="CG4" s="21" t="str">
        <f>_xlfn.DISPIMG("ID_1535B9B984F542669E3F4CDECDF0E294",1)</f>
        <v>=DISPIMG("ID_1535B9B984F542669E3F4CDECDF0E294",1)</v>
      </c>
      <c r="CH4" s="21"/>
      <c r="CI4" s="22" t="s">
        <v>718</v>
      </c>
      <c r="CJ4" s="23"/>
      <c r="CK4" s="23"/>
      <c r="CL4" s="24"/>
      <c r="CM4" s="25" t="s">
        <v>704</v>
      </c>
      <c r="CN4" s="83" t="s">
        <v>719</v>
      </c>
      <c r="CO4" s="86"/>
      <c r="CP4" s="86"/>
      <c r="CQ4" s="87"/>
    </row>
    <row r="5" ht="48" customHeight="1" spans="1:95">
      <c r="A5" s="21"/>
      <c r="B5" s="21"/>
      <c r="C5" s="23"/>
      <c r="D5" s="23"/>
      <c r="E5" s="23"/>
      <c r="F5" s="24"/>
      <c r="G5" s="27" t="s">
        <v>720</v>
      </c>
      <c r="H5" s="28" t="s">
        <v>721</v>
      </c>
      <c r="I5" s="58"/>
      <c r="J5" s="58"/>
      <c r="K5" s="59"/>
      <c r="M5" s="21"/>
      <c r="N5" s="21"/>
      <c r="O5" s="23"/>
      <c r="P5" s="23"/>
      <c r="Q5" s="23"/>
      <c r="R5" s="24"/>
      <c r="S5" s="27" t="s">
        <v>720</v>
      </c>
      <c r="T5" s="28" t="s">
        <v>722</v>
      </c>
      <c r="U5" s="58"/>
      <c r="V5" s="58"/>
      <c r="W5" s="59"/>
      <c r="Y5" s="21"/>
      <c r="Z5" s="21"/>
      <c r="AA5" s="23"/>
      <c r="AB5" s="23"/>
      <c r="AC5" s="23"/>
      <c r="AD5" s="24"/>
      <c r="AE5" s="27" t="s">
        <v>720</v>
      </c>
      <c r="AF5" s="28" t="s">
        <v>723</v>
      </c>
      <c r="AG5" s="58"/>
      <c r="AH5" s="58"/>
      <c r="AI5" s="59"/>
      <c r="AK5" s="21"/>
      <c r="AL5" s="21"/>
      <c r="AM5" s="23"/>
      <c r="AN5" s="23"/>
      <c r="AO5" s="23"/>
      <c r="AP5" s="24"/>
      <c r="AQ5" s="27" t="s">
        <v>720</v>
      </c>
      <c r="AR5" s="37" t="s">
        <v>724</v>
      </c>
      <c r="AS5" s="64"/>
      <c r="AT5" s="64"/>
      <c r="AU5" s="65"/>
      <c r="AW5" s="21"/>
      <c r="AX5" s="21"/>
      <c r="AY5" s="23"/>
      <c r="AZ5" s="23"/>
      <c r="BA5" s="23"/>
      <c r="BB5" s="24"/>
      <c r="BC5" s="27" t="s">
        <v>720</v>
      </c>
      <c r="BD5" s="84" t="s">
        <v>725</v>
      </c>
      <c r="BE5" s="88"/>
      <c r="BF5" s="88"/>
      <c r="BG5" s="89"/>
      <c r="BI5" s="21"/>
      <c r="BJ5" s="21"/>
      <c r="BK5" s="23"/>
      <c r="BL5" s="23"/>
      <c r="BM5" s="23"/>
      <c r="BN5" s="24"/>
      <c r="BO5" s="27" t="s">
        <v>720</v>
      </c>
      <c r="BP5" s="84" t="s">
        <v>726</v>
      </c>
      <c r="BQ5" s="88"/>
      <c r="BR5" s="88"/>
      <c r="BS5" s="89"/>
      <c r="BU5" s="21"/>
      <c r="BV5" s="21"/>
      <c r="BW5" s="23"/>
      <c r="BX5" s="23"/>
      <c r="BY5" s="23"/>
      <c r="BZ5" s="24"/>
      <c r="CA5" s="27" t="s">
        <v>720</v>
      </c>
      <c r="CB5" s="84" t="s">
        <v>727</v>
      </c>
      <c r="CC5" s="88"/>
      <c r="CD5" s="88"/>
      <c r="CE5" s="89"/>
      <c r="CG5" s="21"/>
      <c r="CH5" s="21"/>
      <c r="CI5" s="23"/>
      <c r="CJ5" s="23"/>
      <c r="CK5" s="23"/>
      <c r="CL5" s="24"/>
      <c r="CM5" s="27" t="s">
        <v>720</v>
      </c>
      <c r="CN5" s="84" t="s">
        <v>728</v>
      </c>
      <c r="CO5" s="88"/>
      <c r="CP5" s="88"/>
      <c r="CQ5" s="89"/>
    </row>
    <row r="6" ht="70" customHeight="1" spans="1:95">
      <c r="A6" s="29" t="s">
        <v>729</v>
      </c>
      <c r="B6" s="30" t="s">
        <v>730</v>
      </c>
      <c r="C6" s="31"/>
      <c r="D6" s="31"/>
      <c r="E6" s="31"/>
      <c r="F6" s="32"/>
      <c r="G6" s="33"/>
      <c r="H6" s="34"/>
      <c r="I6" s="60"/>
      <c r="J6" s="60"/>
      <c r="K6" s="61"/>
      <c r="M6" s="29" t="s">
        <v>729</v>
      </c>
      <c r="N6" s="30" t="s">
        <v>731</v>
      </c>
      <c r="O6" s="31"/>
      <c r="P6" s="31"/>
      <c r="Q6" s="31"/>
      <c r="R6" s="32"/>
      <c r="S6" s="33"/>
      <c r="T6" s="34"/>
      <c r="U6" s="60"/>
      <c r="V6" s="60"/>
      <c r="W6" s="61"/>
      <c r="Y6" s="29" t="s">
        <v>729</v>
      </c>
      <c r="Z6" s="30" t="s">
        <v>732</v>
      </c>
      <c r="AA6" s="31"/>
      <c r="AB6" s="31"/>
      <c r="AC6" s="31"/>
      <c r="AD6" s="32"/>
      <c r="AE6" s="33"/>
      <c r="AF6" s="34"/>
      <c r="AG6" s="60"/>
      <c r="AH6" s="60"/>
      <c r="AI6" s="61"/>
      <c r="AK6" s="29" t="s">
        <v>729</v>
      </c>
      <c r="AL6" s="30" t="s">
        <v>733</v>
      </c>
      <c r="AM6" s="31"/>
      <c r="AN6" s="31"/>
      <c r="AO6" s="31"/>
      <c r="AP6" s="32"/>
      <c r="AQ6" s="33"/>
      <c r="AR6" s="38"/>
      <c r="AS6" s="66"/>
      <c r="AT6" s="66"/>
      <c r="AU6" s="67"/>
      <c r="AW6" s="29" t="s">
        <v>729</v>
      </c>
      <c r="AX6" s="30" t="s">
        <v>734</v>
      </c>
      <c r="AY6" s="31"/>
      <c r="AZ6" s="31"/>
      <c r="BA6" s="31"/>
      <c r="BB6" s="32"/>
      <c r="BC6" s="33"/>
      <c r="BD6" s="85"/>
      <c r="BE6" s="90"/>
      <c r="BF6" s="90"/>
      <c r="BG6" s="91"/>
      <c r="BI6" s="29" t="s">
        <v>729</v>
      </c>
      <c r="BJ6" s="30" t="s">
        <v>735</v>
      </c>
      <c r="BK6" s="31"/>
      <c r="BL6" s="31"/>
      <c r="BM6" s="31"/>
      <c r="BN6" s="32"/>
      <c r="BO6" s="33"/>
      <c r="BP6" s="85"/>
      <c r="BQ6" s="90"/>
      <c r="BR6" s="90"/>
      <c r="BS6" s="91"/>
      <c r="BU6" s="29" t="s">
        <v>729</v>
      </c>
      <c r="BV6" s="30" t="s">
        <v>736</v>
      </c>
      <c r="BW6" s="31"/>
      <c r="BX6" s="31"/>
      <c r="BY6" s="31"/>
      <c r="BZ6" s="32"/>
      <c r="CA6" s="33"/>
      <c r="CB6" s="85"/>
      <c r="CC6" s="90"/>
      <c r="CD6" s="90"/>
      <c r="CE6" s="91"/>
      <c r="CG6" s="29" t="s">
        <v>729</v>
      </c>
      <c r="CH6" s="30" t="s">
        <v>737</v>
      </c>
      <c r="CI6" s="31"/>
      <c r="CJ6" s="31"/>
      <c r="CK6" s="31"/>
      <c r="CL6" s="32"/>
      <c r="CM6" s="33"/>
      <c r="CN6" s="85"/>
      <c r="CO6" s="90"/>
      <c r="CP6" s="90"/>
      <c r="CQ6" s="91"/>
    </row>
    <row r="7" ht="15" customHeight="1" spans="1:95">
      <c r="A7" s="29" t="s">
        <v>738</v>
      </c>
      <c r="B7" s="30" t="s">
        <v>739</v>
      </c>
      <c r="C7" s="30"/>
      <c r="D7" s="30"/>
      <c r="E7" s="30"/>
      <c r="F7" s="24" t="s">
        <v>20</v>
      </c>
      <c r="G7" s="35" t="s">
        <v>740</v>
      </c>
      <c r="H7" s="35"/>
      <c r="I7" s="35"/>
      <c r="J7" s="35"/>
      <c r="K7" s="35"/>
      <c r="M7" s="29" t="s">
        <v>738</v>
      </c>
      <c r="N7" s="30" t="s">
        <v>741</v>
      </c>
      <c r="O7" s="30"/>
      <c r="P7" s="30"/>
      <c r="Q7" s="30"/>
      <c r="R7" s="24" t="s">
        <v>20</v>
      </c>
      <c r="S7" s="35" t="s">
        <v>740</v>
      </c>
      <c r="T7" s="35"/>
      <c r="U7" s="35"/>
      <c r="V7" s="35"/>
      <c r="W7" s="35"/>
      <c r="Y7" s="29" t="s">
        <v>738</v>
      </c>
      <c r="Z7" s="30" t="s">
        <v>742</v>
      </c>
      <c r="AA7" s="30"/>
      <c r="AB7" s="30"/>
      <c r="AC7" s="30"/>
      <c r="AD7" s="24" t="s">
        <v>20</v>
      </c>
      <c r="AE7" s="35" t="s">
        <v>740</v>
      </c>
      <c r="AF7" s="35"/>
      <c r="AG7" s="35"/>
      <c r="AH7" s="35"/>
      <c r="AI7" s="35"/>
      <c r="AK7" s="29" t="s">
        <v>738</v>
      </c>
      <c r="AL7" s="30" t="s">
        <v>743</v>
      </c>
      <c r="AM7" s="30"/>
      <c r="AN7" s="30"/>
      <c r="AO7" s="30"/>
      <c r="AP7" s="24" t="s">
        <v>20</v>
      </c>
      <c r="AQ7" s="35" t="s">
        <v>740</v>
      </c>
      <c r="AR7" s="35"/>
      <c r="AS7" s="35"/>
      <c r="AT7" s="35"/>
      <c r="AU7" s="35"/>
      <c r="AW7" s="29" t="s">
        <v>738</v>
      </c>
      <c r="AX7" s="30" t="s">
        <v>744</v>
      </c>
      <c r="AY7" s="30"/>
      <c r="AZ7" s="30"/>
      <c r="BA7" s="30"/>
      <c r="BB7" s="24" t="s">
        <v>20</v>
      </c>
      <c r="BC7" s="35" t="s">
        <v>740</v>
      </c>
      <c r="BD7" s="35"/>
      <c r="BE7" s="35"/>
      <c r="BF7" s="35"/>
      <c r="BG7" s="35"/>
      <c r="BI7" s="29" t="s">
        <v>738</v>
      </c>
      <c r="BJ7" s="30" t="s">
        <v>745</v>
      </c>
      <c r="BK7" s="30"/>
      <c r="BL7" s="30"/>
      <c r="BM7" s="30"/>
      <c r="BN7" s="24" t="s">
        <v>20</v>
      </c>
      <c r="BO7" s="35" t="s">
        <v>740</v>
      </c>
      <c r="BP7" s="35"/>
      <c r="BQ7" s="35"/>
      <c r="BR7" s="35"/>
      <c r="BS7" s="35"/>
      <c r="BU7" s="29" t="s">
        <v>738</v>
      </c>
      <c r="BV7" s="30" t="s">
        <v>746</v>
      </c>
      <c r="BW7" s="30"/>
      <c r="BX7" s="30"/>
      <c r="BY7" s="30"/>
      <c r="BZ7" s="24" t="s">
        <v>20</v>
      </c>
      <c r="CA7" s="35" t="s">
        <v>740</v>
      </c>
      <c r="CB7" s="35"/>
      <c r="CC7" s="35"/>
      <c r="CD7" s="35"/>
      <c r="CE7" s="35"/>
      <c r="CG7" s="29" t="s">
        <v>738</v>
      </c>
      <c r="CH7" s="30" t="s">
        <v>747</v>
      </c>
      <c r="CI7" s="30"/>
      <c r="CJ7" s="30"/>
      <c r="CK7" s="30"/>
      <c r="CL7" s="24" t="s">
        <v>20</v>
      </c>
      <c r="CM7" s="35" t="s">
        <v>740</v>
      </c>
      <c r="CN7" s="35"/>
      <c r="CO7" s="35"/>
      <c r="CP7" s="35"/>
      <c r="CQ7" s="35"/>
    </row>
    <row r="8" ht="48" customHeight="1" spans="1:95">
      <c r="A8" s="29"/>
      <c r="B8" s="30"/>
      <c r="C8" s="30"/>
      <c r="D8" s="30"/>
      <c r="E8" s="30"/>
      <c r="F8" s="24"/>
      <c r="G8" s="25" t="s">
        <v>704</v>
      </c>
      <c r="H8" s="36" t="s">
        <v>748</v>
      </c>
      <c r="I8" s="62"/>
      <c r="J8" s="62"/>
      <c r="K8" s="63"/>
      <c r="M8" s="29"/>
      <c r="N8" s="30"/>
      <c r="O8" s="30"/>
      <c r="P8" s="30"/>
      <c r="Q8" s="30"/>
      <c r="R8" s="24"/>
      <c r="S8" s="25" t="s">
        <v>704</v>
      </c>
      <c r="T8" s="71" t="s">
        <v>749</v>
      </c>
      <c r="U8" s="72"/>
      <c r="V8" s="72"/>
      <c r="W8" s="73"/>
      <c r="Y8" s="29"/>
      <c r="Z8" s="30"/>
      <c r="AA8" s="30"/>
      <c r="AB8" s="30"/>
      <c r="AC8" s="30"/>
      <c r="AD8" s="24"/>
      <c r="AE8" s="25" t="s">
        <v>704</v>
      </c>
      <c r="AF8" s="71" t="s">
        <v>750</v>
      </c>
      <c r="AG8" s="72"/>
      <c r="AH8" s="72"/>
      <c r="AI8" s="73"/>
      <c r="AK8" s="29"/>
      <c r="AL8" s="30"/>
      <c r="AM8" s="30"/>
      <c r="AN8" s="30"/>
      <c r="AO8" s="30"/>
      <c r="AP8" s="24"/>
      <c r="AQ8" s="25" t="s">
        <v>704</v>
      </c>
      <c r="AR8" s="36" t="s">
        <v>751</v>
      </c>
      <c r="AS8" s="62"/>
      <c r="AT8" s="62"/>
      <c r="AU8" s="63"/>
      <c r="AW8" s="29"/>
      <c r="AX8" s="30"/>
      <c r="AY8" s="30"/>
      <c r="AZ8" s="30"/>
      <c r="BA8" s="30"/>
      <c r="BB8" s="24"/>
      <c r="BC8" s="25" t="s">
        <v>704</v>
      </c>
      <c r="BD8" s="83" t="s">
        <v>752</v>
      </c>
      <c r="BE8" s="86"/>
      <c r="BF8" s="86"/>
      <c r="BG8" s="87"/>
      <c r="BI8" s="29"/>
      <c r="BJ8" s="30"/>
      <c r="BK8" s="30"/>
      <c r="BL8" s="30"/>
      <c r="BM8" s="30"/>
      <c r="BN8" s="24"/>
      <c r="BO8" s="25" t="s">
        <v>704</v>
      </c>
      <c r="BP8" s="83" t="s">
        <v>753</v>
      </c>
      <c r="BQ8" s="86"/>
      <c r="BR8" s="86"/>
      <c r="BS8" s="87"/>
      <c r="BU8" s="29"/>
      <c r="BV8" s="30"/>
      <c r="BW8" s="30"/>
      <c r="BX8" s="30"/>
      <c r="BY8" s="30"/>
      <c r="BZ8" s="24"/>
      <c r="CA8" s="25" t="s">
        <v>704</v>
      </c>
      <c r="CB8" s="83" t="s">
        <v>754</v>
      </c>
      <c r="CC8" s="86"/>
      <c r="CD8" s="86"/>
      <c r="CE8" s="87"/>
      <c r="CG8" s="29"/>
      <c r="CH8" s="30"/>
      <c r="CI8" s="30"/>
      <c r="CJ8" s="30"/>
      <c r="CK8" s="30"/>
      <c r="CL8" s="24"/>
      <c r="CM8" s="25" t="s">
        <v>704</v>
      </c>
      <c r="CN8" s="83" t="s">
        <v>755</v>
      </c>
      <c r="CO8" s="86"/>
      <c r="CP8" s="86"/>
      <c r="CQ8" s="87"/>
    </row>
    <row r="9" ht="48" customHeight="1" spans="1:95">
      <c r="A9" s="29"/>
      <c r="B9" s="30"/>
      <c r="C9" s="30"/>
      <c r="D9" s="30"/>
      <c r="E9" s="30"/>
      <c r="F9" s="24"/>
      <c r="G9" s="27" t="s">
        <v>720</v>
      </c>
      <c r="H9" s="37" t="s">
        <v>756</v>
      </c>
      <c r="I9" s="64"/>
      <c r="J9" s="64"/>
      <c r="K9" s="65"/>
      <c r="M9" s="29"/>
      <c r="N9" s="30"/>
      <c r="O9" s="30"/>
      <c r="P9" s="30"/>
      <c r="Q9" s="30"/>
      <c r="R9" s="24"/>
      <c r="S9" s="27" t="s">
        <v>720</v>
      </c>
      <c r="T9" s="74" t="s">
        <v>757</v>
      </c>
      <c r="U9" s="75"/>
      <c r="V9" s="75"/>
      <c r="W9" s="76"/>
      <c r="Y9" s="29"/>
      <c r="Z9" s="30"/>
      <c r="AA9" s="30"/>
      <c r="AB9" s="30"/>
      <c r="AC9" s="30"/>
      <c r="AD9" s="24"/>
      <c r="AE9" s="27" t="s">
        <v>720</v>
      </c>
      <c r="AF9" s="74" t="s">
        <v>758</v>
      </c>
      <c r="AG9" s="75"/>
      <c r="AH9" s="75"/>
      <c r="AI9" s="76"/>
      <c r="AK9" s="29"/>
      <c r="AL9" s="30"/>
      <c r="AM9" s="30"/>
      <c r="AN9" s="30"/>
      <c r="AO9" s="30"/>
      <c r="AP9" s="24"/>
      <c r="AQ9" s="27" t="s">
        <v>720</v>
      </c>
      <c r="AR9" s="37" t="s">
        <v>759</v>
      </c>
      <c r="AS9" s="64"/>
      <c r="AT9" s="64"/>
      <c r="AU9" s="65"/>
      <c r="AW9" s="29"/>
      <c r="AX9" s="30"/>
      <c r="AY9" s="30"/>
      <c r="AZ9" s="30"/>
      <c r="BA9" s="30"/>
      <c r="BB9" s="24"/>
      <c r="BC9" s="27" t="s">
        <v>720</v>
      </c>
      <c r="BD9" s="84" t="s">
        <v>760</v>
      </c>
      <c r="BE9" s="88"/>
      <c r="BF9" s="88"/>
      <c r="BG9" s="89"/>
      <c r="BI9" s="29"/>
      <c r="BJ9" s="30"/>
      <c r="BK9" s="30"/>
      <c r="BL9" s="30"/>
      <c r="BM9" s="30"/>
      <c r="BN9" s="24"/>
      <c r="BO9" s="27" t="s">
        <v>720</v>
      </c>
      <c r="BP9" s="84" t="s">
        <v>761</v>
      </c>
      <c r="BQ9" s="88"/>
      <c r="BR9" s="88"/>
      <c r="BS9" s="89"/>
      <c r="BU9" s="29"/>
      <c r="BV9" s="30"/>
      <c r="BW9" s="30"/>
      <c r="BX9" s="30"/>
      <c r="BY9" s="30"/>
      <c r="BZ9" s="24"/>
      <c r="CA9" s="27" t="s">
        <v>720</v>
      </c>
      <c r="CB9" s="84" t="s">
        <v>762</v>
      </c>
      <c r="CC9" s="88"/>
      <c r="CD9" s="88"/>
      <c r="CE9" s="89"/>
      <c r="CG9" s="29"/>
      <c r="CH9" s="30"/>
      <c r="CI9" s="30"/>
      <c r="CJ9" s="30"/>
      <c r="CK9" s="30"/>
      <c r="CL9" s="24"/>
      <c r="CM9" s="27" t="s">
        <v>720</v>
      </c>
      <c r="CN9" s="84" t="s">
        <v>763</v>
      </c>
      <c r="CO9" s="88"/>
      <c r="CP9" s="88"/>
      <c r="CQ9" s="89"/>
    </row>
    <row r="10" ht="70" customHeight="1" spans="1:95">
      <c r="A10" s="29" t="s">
        <v>764</v>
      </c>
      <c r="B10" s="30" t="s">
        <v>765</v>
      </c>
      <c r="C10" s="31"/>
      <c r="D10" s="31"/>
      <c r="E10" s="31"/>
      <c r="F10" s="24"/>
      <c r="G10" s="33"/>
      <c r="H10" s="38"/>
      <c r="I10" s="66"/>
      <c r="J10" s="66"/>
      <c r="K10" s="67"/>
      <c r="M10" s="29" t="s">
        <v>764</v>
      </c>
      <c r="N10" s="30" t="s">
        <v>765</v>
      </c>
      <c r="O10" s="31"/>
      <c r="P10" s="31"/>
      <c r="Q10" s="31"/>
      <c r="R10" s="24"/>
      <c r="S10" s="33"/>
      <c r="T10" s="77"/>
      <c r="U10" s="78"/>
      <c r="V10" s="78"/>
      <c r="W10" s="79"/>
      <c r="Y10" s="29" t="s">
        <v>764</v>
      </c>
      <c r="Z10" s="30" t="s">
        <v>765</v>
      </c>
      <c r="AA10" s="31"/>
      <c r="AB10" s="31"/>
      <c r="AC10" s="31"/>
      <c r="AD10" s="24"/>
      <c r="AE10" s="33"/>
      <c r="AF10" s="77"/>
      <c r="AG10" s="78"/>
      <c r="AH10" s="78"/>
      <c r="AI10" s="79"/>
      <c r="AK10" s="29" t="s">
        <v>764</v>
      </c>
      <c r="AL10" s="30" t="s">
        <v>765</v>
      </c>
      <c r="AM10" s="31"/>
      <c r="AN10" s="31"/>
      <c r="AO10" s="31"/>
      <c r="AP10" s="24"/>
      <c r="AQ10" s="33"/>
      <c r="AR10" s="38"/>
      <c r="AS10" s="66"/>
      <c r="AT10" s="66"/>
      <c r="AU10" s="67"/>
      <c r="AW10" s="29" t="s">
        <v>764</v>
      </c>
      <c r="AX10" s="30" t="s">
        <v>765</v>
      </c>
      <c r="AY10" s="31"/>
      <c r="AZ10" s="31"/>
      <c r="BA10" s="31"/>
      <c r="BB10" s="24"/>
      <c r="BC10" s="33"/>
      <c r="BD10" s="85"/>
      <c r="BE10" s="90"/>
      <c r="BF10" s="90"/>
      <c r="BG10" s="91"/>
      <c r="BI10" s="29" t="s">
        <v>764</v>
      </c>
      <c r="BJ10" s="30" t="s">
        <v>765</v>
      </c>
      <c r="BK10" s="31"/>
      <c r="BL10" s="31"/>
      <c r="BM10" s="31"/>
      <c r="BN10" s="24"/>
      <c r="BO10" s="33"/>
      <c r="BP10" s="85"/>
      <c r="BQ10" s="90"/>
      <c r="BR10" s="90"/>
      <c r="BS10" s="91"/>
      <c r="BU10" s="29" t="s">
        <v>764</v>
      </c>
      <c r="BV10" s="30" t="s">
        <v>765</v>
      </c>
      <c r="BW10" s="31"/>
      <c r="BX10" s="31"/>
      <c r="BY10" s="31"/>
      <c r="BZ10" s="24"/>
      <c r="CA10" s="33"/>
      <c r="CB10" s="85"/>
      <c r="CC10" s="90"/>
      <c r="CD10" s="90"/>
      <c r="CE10" s="91"/>
      <c r="CG10" s="29" t="s">
        <v>764</v>
      </c>
      <c r="CH10" s="30" t="s">
        <v>765</v>
      </c>
      <c r="CI10" s="31"/>
      <c r="CJ10" s="31"/>
      <c r="CK10" s="31"/>
      <c r="CL10" s="24"/>
      <c r="CM10" s="33"/>
      <c r="CN10" s="85"/>
      <c r="CO10" s="90"/>
      <c r="CP10" s="90"/>
      <c r="CQ10" s="91"/>
    </row>
    <row r="11" ht="15" customHeight="1" spans="1:95">
      <c r="A11" s="39"/>
      <c r="B11" s="39"/>
      <c r="C11" s="39"/>
      <c r="D11" s="39"/>
      <c r="E11" s="39"/>
      <c r="F11" s="40" t="s">
        <v>30</v>
      </c>
      <c r="G11" s="35" t="s">
        <v>766</v>
      </c>
      <c r="H11" s="35"/>
      <c r="I11" s="35"/>
      <c r="J11" s="35"/>
      <c r="K11" s="35"/>
      <c r="M11" s="39"/>
      <c r="N11" s="39"/>
      <c r="O11" s="39"/>
      <c r="P11" s="39"/>
      <c r="Q11" s="39"/>
      <c r="R11" s="40" t="s">
        <v>30</v>
      </c>
      <c r="S11" s="35" t="s">
        <v>766</v>
      </c>
      <c r="T11" s="35"/>
      <c r="U11" s="35"/>
      <c r="V11" s="35"/>
      <c r="W11" s="35"/>
      <c r="Y11" s="39"/>
      <c r="Z11" s="39"/>
      <c r="AA11" s="39"/>
      <c r="AB11" s="39"/>
      <c r="AC11" s="39"/>
      <c r="AD11" s="40" t="s">
        <v>30</v>
      </c>
      <c r="AE11" s="35" t="s">
        <v>766</v>
      </c>
      <c r="AF11" s="35"/>
      <c r="AG11" s="35"/>
      <c r="AH11" s="35"/>
      <c r="AI11" s="35"/>
      <c r="AK11" s="39"/>
      <c r="AL11" s="39"/>
      <c r="AM11" s="39"/>
      <c r="AN11" s="39"/>
      <c r="AO11" s="39"/>
      <c r="AP11" s="40" t="s">
        <v>30</v>
      </c>
      <c r="AQ11" s="35" t="s">
        <v>766</v>
      </c>
      <c r="AR11" s="35"/>
      <c r="AS11" s="35"/>
      <c r="AT11" s="35"/>
      <c r="AU11" s="35"/>
      <c r="AW11" s="39"/>
      <c r="AX11" s="39"/>
      <c r="AY11" s="39"/>
      <c r="AZ11" s="39"/>
      <c r="BA11" s="39"/>
      <c r="BB11" s="40" t="s">
        <v>30</v>
      </c>
      <c r="BC11" s="35" t="s">
        <v>766</v>
      </c>
      <c r="BD11" s="35"/>
      <c r="BE11" s="35"/>
      <c r="BF11" s="35"/>
      <c r="BG11" s="35"/>
      <c r="BI11" s="39"/>
      <c r="BJ11" s="39"/>
      <c r="BK11" s="39"/>
      <c r="BL11" s="39"/>
      <c r="BM11" s="39"/>
      <c r="BN11" s="40" t="s">
        <v>30</v>
      </c>
      <c r="BO11" s="35" t="s">
        <v>766</v>
      </c>
      <c r="BP11" s="35"/>
      <c r="BQ11" s="35"/>
      <c r="BR11" s="35"/>
      <c r="BS11" s="35"/>
      <c r="BU11" s="39"/>
      <c r="BV11" s="39"/>
      <c r="BW11" s="39"/>
      <c r="BX11" s="39"/>
      <c r="BY11" s="39"/>
      <c r="BZ11" s="40" t="s">
        <v>30</v>
      </c>
      <c r="CA11" s="35" t="s">
        <v>766</v>
      </c>
      <c r="CB11" s="35"/>
      <c r="CC11" s="35"/>
      <c r="CD11" s="35"/>
      <c r="CE11" s="35"/>
      <c r="CG11" s="39"/>
      <c r="CH11" s="39"/>
      <c r="CI11" s="39"/>
      <c r="CJ11" s="39"/>
      <c r="CK11" s="39"/>
      <c r="CL11" s="40" t="s">
        <v>30</v>
      </c>
      <c r="CM11" s="35" t="s">
        <v>766</v>
      </c>
      <c r="CN11" s="35"/>
      <c r="CO11" s="35"/>
      <c r="CP11" s="35"/>
      <c r="CQ11" s="35"/>
    </row>
    <row r="12" ht="48" customHeight="1" spans="1:95">
      <c r="A12" s="41" t="s">
        <v>767</v>
      </c>
      <c r="B12" s="42" t="str">
        <f>_xlfn.DISPIMG("ID_00D9FB4C8F334FD5BD7BFDB39E4820D1",1)</f>
        <v>=DISPIMG("ID_00D9FB4C8F334FD5BD7BFDB39E4820D1",1)</v>
      </c>
      <c r="C12" s="42"/>
      <c r="D12" s="42"/>
      <c r="E12" s="42"/>
      <c r="F12" s="24"/>
      <c r="G12" s="25" t="s">
        <v>704</v>
      </c>
      <c r="H12" s="26" t="s">
        <v>768</v>
      </c>
      <c r="I12" s="56"/>
      <c r="J12" s="56"/>
      <c r="K12" s="57"/>
      <c r="M12" s="41" t="s">
        <v>767</v>
      </c>
      <c r="N12" s="42" t="str">
        <f>_xlfn.DISPIMG("ID_68164ABF2B164D4CBEAEC3E55447C726",1)</f>
        <v>=DISPIMG("ID_68164ABF2B164D4CBEAEC3E55447C726",1)</v>
      </c>
      <c r="O12" s="42"/>
      <c r="P12" s="42"/>
      <c r="Q12" s="42"/>
      <c r="R12" s="24"/>
      <c r="S12" s="25" t="s">
        <v>704</v>
      </c>
      <c r="T12" s="71" t="s">
        <v>769</v>
      </c>
      <c r="U12" s="72"/>
      <c r="V12" s="72"/>
      <c r="W12" s="73"/>
      <c r="Y12" s="41" t="s">
        <v>767</v>
      </c>
      <c r="Z12" s="42" t="str">
        <f>_xlfn.DISPIMG("ID_00D9FB4C8F334FD5BD7BFDB39E4820D1",1)</f>
        <v>=DISPIMG("ID_00D9FB4C8F334FD5BD7BFDB39E4820D1",1)</v>
      </c>
      <c r="AA12" s="42"/>
      <c r="AB12" s="42"/>
      <c r="AC12" s="42"/>
      <c r="AD12" s="24"/>
      <c r="AE12" s="25" t="s">
        <v>704</v>
      </c>
      <c r="AF12" s="71" t="s">
        <v>770</v>
      </c>
      <c r="AG12" s="72"/>
      <c r="AH12" s="72"/>
      <c r="AI12" s="73"/>
      <c r="AK12" s="41" t="s">
        <v>767</v>
      </c>
      <c r="AL12" s="81" t="str">
        <f>_xlfn.DISPIMG("ID_A07359371D7F4787B3C1B95EB632C043",1)</f>
        <v>=DISPIMG("ID_A07359371D7F4787B3C1B95EB632C043",1)</v>
      </c>
      <c r="AM12" s="81"/>
      <c r="AN12" s="81"/>
      <c r="AO12" s="81"/>
      <c r="AP12" s="24"/>
      <c r="AQ12" s="25" t="s">
        <v>704</v>
      </c>
      <c r="AR12" s="71" t="s">
        <v>771</v>
      </c>
      <c r="AS12" s="72"/>
      <c r="AT12" s="72"/>
      <c r="AU12" s="73"/>
      <c r="AW12" s="41" t="s">
        <v>767</v>
      </c>
      <c r="AX12" s="81" t="str">
        <f>_xlfn.DISPIMG("ID_CD3D405B8AAD4B80863FC50D9B91FCF3",1)</f>
        <v>=DISPIMG("ID_CD3D405B8AAD4B80863FC50D9B91FCF3",1)</v>
      </c>
      <c r="AY12" s="81"/>
      <c r="AZ12" s="81"/>
      <c r="BA12" s="81"/>
      <c r="BB12" s="24"/>
      <c r="BC12" s="25" t="s">
        <v>704</v>
      </c>
      <c r="BD12" s="83" t="s">
        <v>772</v>
      </c>
      <c r="BE12" s="86"/>
      <c r="BF12" s="86"/>
      <c r="BG12" s="87"/>
      <c r="BI12" s="41" t="s">
        <v>767</v>
      </c>
      <c r="BJ12" s="81" t="str">
        <f>_xlfn.DISPIMG("ID_9DA30D570E8E4D26ABC3452C240B64BB",1)</f>
        <v>=DISPIMG("ID_9DA30D570E8E4D26ABC3452C240B64BB",1)</v>
      </c>
      <c r="BK12" s="81"/>
      <c r="BL12" s="81"/>
      <c r="BM12" s="81"/>
      <c r="BN12" s="24"/>
      <c r="BO12" s="25" t="s">
        <v>704</v>
      </c>
      <c r="BP12" s="71" t="s">
        <v>773</v>
      </c>
      <c r="BQ12" s="72"/>
      <c r="BR12" s="72"/>
      <c r="BS12" s="73"/>
      <c r="BU12" s="41" t="s">
        <v>767</v>
      </c>
      <c r="BV12" s="81" t="str">
        <f>_xlfn.DISPIMG("ID_4AC529FA57124C808C6288C783BC17B5",1)</f>
        <v>=DISPIMG("ID_4AC529FA57124C808C6288C783BC17B5",1)</v>
      </c>
      <c r="BW12" s="81"/>
      <c r="BX12" s="81"/>
      <c r="BY12" s="81"/>
      <c r="BZ12" s="24"/>
      <c r="CA12" s="25" t="s">
        <v>704</v>
      </c>
      <c r="CB12" s="71" t="s">
        <v>774</v>
      </c>
      <c r="CC12" s="72"/>
      <c r="CD12" s="72"/>
      <c r="CE12" s="73"/>
      <c r="CG12" s="41" t="s">
        <v>767</v>
      </c>
      <c r="CH12" s="81" t="str">
        <f>_xlfn.DISPIMG("ID_61DBAB06EDD843C58C1E6223384F3397",1)</f>
        <v>=DISPIMG("ID_61DBAB06EDD843C58C1E6223384F3397",1)</v>
      </c>
      <c r="CI12" s="81"/>
      <c r="CJ12" s="81"/>
      <c r="CK12" s="81"/>
      <c r="CL12" s="24"/>
      <c r="CM12" s="25" t="s">
        <v>704</v>
      </c>
      <c r="CN12" s="83" t="s">
        <v>775</v>
      </c>
      <c r="CO12" s="86"/>
      <c r="CP12" s="86"/>
      <c r="CQ12" s="87"/>
    </row>
    <row r="13" ht="48" customHeight="1" spans="1:95">
      <c r="A13" s="43"/>
      <c r="B13" s="42"/>
      <c r="C13" s="42"/>
      <c r="D13" s="42"/>
      <c r="E13" s="42"/>
      <c r="F13" s="24"/>
      <c r="G13" s="27" t="s">
        <v>720</v>
      </c>
      <c r="H13" s="28" t="s">
        <v>776</v>
      </c>
      <c r="I13" s="58"/>
      <c r="J13" s="58"/>
      <c r="K13" s="59"/>
      <c r="M13" s="43"/>
      <c r="N13" s="42"/>
      <c r="O13" s="42"/>
      <c r="P13" s="42"/>
      <c r="Q13" s="42"/>
      <c r="R13" s="24"/>
      <c r="S13" s="27" t="s">
        <v>720</v>
      </c>
      <c r="T13" s="74" t="s">
        <v>777</v>
      </c>
      <c r="U13" s="75"/>
      <c r="V13" s="75"/>
      <c r="W13" s="76"/>
      <c r="Y13" s="43"/>
      <c r="Z13" s="42"/>
      <c r="AA13" s="42"/>
      <c r="AB13" s="42"/>
      <c r="AC13" s="42"/>
      <c r="AD13" s="24"/>
      <c r="AE13" s="27" t="s">
        <v>720</v>
      </c>
      <c r="AF13" s="74" t="s">
        <v>778</v>
      </c>
      <c r="AG13" s="75"/>
      <c r="AH13" s="75"/>
      <c r="AI13" s="76"/>
      <c r="AK13" s="43"/>
      <c r="AL13" s="81"/>
      <c r="AM13" s="81"/>
      <c r="AN13" s="81"/>
      <c r="AO13" s="81"/>
      <c r="AP13" s="24"/>
      <c r="AQ13" s="27" t="s">
        <v>720</v>
      </c>
      <c r="AR13" s="74" t="s">
        <v>779</v>
      </c>
      <c r="AS13" s="75"/>
      <c r="AT13" s="75"/>
      <c r="AU13" s="76"/>
      <c r="AW13" s="43"/>
      <c r="AX13" s="81"/>
      <c r="AY13" s="81"/>
      <c r="AZ13" s="81"/>
      <c r="BA13" s="81"/>
      <c r="BB13" s="24"/>
      <c r="BC13" s="27" t="s">
        <v>720</v>
      </c>
      <c r="BD13" s="84" t="s">
        <v>780</v>
      </c>
      <c r="BE13" s="88"/>
      <c r="BF13" s="88"/>
      <c r="BG13" s="89"/>
      <c r="BI13" s="43"/>
      <c r="BJ13" s="81"/>
      <c r="BK13" s="81"/>
      <c r="BL13" s="81"/>
      <c r="BM13" s="81"/>
      <c r="BN13" s="24"/>
      <c r="BO13" s="27" t="s">
        <v>720</v>
      </c>
      <c r="BP13" s="74" t="s">
        <v>781</v>
      </c>
      <c r="BQ13" s="88"/>
      <c r="BR13" s="88"/>
      <c r="BS13" s="89"/>
      <c r="BU13" s="43"/>
      <c r="BV13" s="81"/>
      <c r="BW13" s="81"/>
      <c r="BX13" s="81"/>
      <c r="BY13" s="81"/>
      <c r="BZ13" s="24"/>
      <c r="CA13" s="27" t="s">
        <v>720</v>
      </c>
      <c r="CB13" s="74" t="s">
        <v>782</v>
      </c>
      <c r="CC13" s="75"/>
      <c r="CD13" s="75"/>
      <c r="CE13" s="76"/>
      <c r="CG13" s="43"/>
      <c r="CH13" s="81"/>
      <c r="CI13" s="81"/>
      <c r="CJ13" s="81"/>
      <c r="CK13" s="81"/>
      <c r="CL13" s="24"/>
      <c r="CM13" s="27" t="s">
        <v>720</v>
      </c>
      <c r="CN13" s="84" t="s">
        <v>783</v>
      </c>
      <c r="CO13" s="88"/>
      <c r="CP13" s="88"/>
      <c r="CQ13" s="89"/>
    </row>
    <row r="14" ht="70" customHeight="1" spans="1:95">
      <c r="A14" s="43"/>
      <c r="B14" s="42"/>
      <c r="C14" s="42"/>
      <c r="D14" s="42"/>
      <c r="E14" s="42"/>
      <c r="F14" s="32"/>
      <c r="G14" s="33"/>
      <c r="H14" s="34"/>
      <c r="I14" s="60"/>
      <c r="J14" s="60"/>
      <c r="K14" s="61"/>
      <c r="M14" s="43"/>
      <c r="N14" s="42"/>
      <c r="O14" s="42"/>
      <c r="P14" s="42"/>
      <c r="Q14" s="42"/>
      <c r="R14" s="32"/>
      <c r="S14" s="33"/>
      <c r="T14" s="77"/>
      <c r="U14" s="78"/>
      <c r="V14" s="78"/>
      <c r="W14" s="79"/>
      <c r="Y14" s="43"/>
      <c r="Z14" s="42"/>
      <c r="AA14" s="42"/>
      <c r="AB14" s="42"/>
      <c r="AC14" s="42"/>
      <c r="AD14" s="32"/>
      <c r="AE14" s="33"/>
      <c r="AF14" s="77"/>
      <c r="AG14" s="78"/>
      <c r="AH14" s="78"/>
      <c r="AI14" s="79"/>
      <c r="AK14" s="43"/>
      <c r="AL14" s="81"/>
      <c r="AM14" s="81"/>
      <c r="AN14" s="81"/>
      <c r="AO14" s="81"/>
      <c r="AP14" s="32"/>
      <c r="AQ14" s="33"/>
      <c r="AR14" s="77"/>
      <c r="AS14" s="78"/>
      <c r="AT14" s="78"/>
      <c r="AU14" s="79"/>
      <c r="AW14" s="43"/>
      <c r="AX14" s="81"/>
      <c r="AY14" s="81"/>
      <c r="AZ14" s="81"/>
      <c r="BA14" s="81"/>
      <c r="BB14" s="32"/>
      <c r="BC14" s="33"/>
      <c r="BD14" s="85"/>
      <c r="BE14" s="90"/>
      <c r="BF14" s="90"/>
      <c r="BG14" s="91"/>
      <c r="BI14" s="43"/>
      <c r="BJ14" s="81"/>
      <c r="BK14" s="81"/>
      <c r="BL14" s="81"/>
      <c r="BM14" s="81"/>
      <c r="BN14" s="32"/>
      <c r="BO14" s="33"/>
      <c r="BP14" s="85"/>
      <c r="BQ14" s="90"/>
      <c r="BR14" s="90"/>
      <c r="BS14" s="91"/>
      <c r="BU14" s="43"/>
      <c r="BV14" s="81"/>
      <c r="BW14" s="81"/>
      <c r="BX14" s="81"/>
      <c r="BY14" s="81"/>
      <c r="BZ14" s="32"/>
      <c r="CA14" s="33"/>
      <c r="CB14" s="77"/>
      <c r="CC14" s="78"/>
      <c r="CD14" s="78"/>
      <c r="CE14" s="79"/>
      <c r="CG14" s="43"/>
      <c r="CH14" s="81"/>
      <c r="CI14" s="81"/>
      <c r="CJ14" s="81"/>
      <c r="CK14" s="81"/>
      <c r="CL14" s="32"/>
      <c r="CM14" s="33"/>
      <c r="CN14" s="85"/>
      <c r="CO14" s="90"/>
      <c r="CP14" s="90"/>
      <c r="CQ14" s="91"/>
    </row>
    <row r="15" ht="15" customHeight="1" spans="1:95">
      <c r="A15" s="44"/>
      <c r="B15" s="44"/>
      <c r="C15" s="44"/>
      <c r="D15" s="44"/>
      <c r="E15" s="44"/>
      <c r="F15" s="24" t="s">
        <v>38</v>
      </c>
      <c r="G15" s="45" t="s">
        <v>694</v>
      </c>
      <c r="H15" s="45"/>
      <c r="I15" s="45"/>
      <c r="J15" s="45"/>
      <c r="K15" s="45"/>
      <c r="M15" s="44"/>
      <c r="N15" s="44"/>
      <c r="O15" s="44"/>
      <c r="P15" s="44"/>
      <c r="Q15" s="44"/>
      <c r="R15" s="24" t="s">
        <v>38</v>
      </c>
      <c r="S15" s="45" t="s">
        <v>694</v>
      </c>
      <c r="T15" s="45"/>
      <c r="U15" s="45"/>
      <c r="V15" s="45"/>
      <c r="W15" s="45"/>
      <c r="Y15" s="44"/>
      <c r="Z15" s="44"/>
      <c r="AA15" s="44"/>
      <c r="AB15" s="44"/>
      <c r="AC15" s="44"/>
      <c r="AD15" s="24" t="s">
        <v>38</v>
      </c>
      <c r="AE15" s="45" t="s">
        <v>694</v>
      </c>
      <c r="AF15" s="45"/>
      <c r="AG15" s="45"/>
      <c r="AH15" s="45"/>
      <c r="AI15" s="45"/>
      <c r="AK15" s="44"/>
      <c r="AL15" s="44"/>
      <c r="AM15" s="44"/>
      <c r="AN15" s="44"/>
      <c r="AO15" s="44"/>
      <c r="AP15" s="24" t="s">
        <v>38</v>
      </c>
      <c r="AQ15" s="45" t="s">
        <v>694</v>
      </c>
      <c r="AR15" s="45"/>
      <c r="AS15" s="45"/>
      <c r="AT15" s="45"/>
      <c r="AU15" s="45"/>
      <c r="AW15" s="44"/>
      <c r="AX15" s="44"/>
      <c r="AY15" s="44"/>
      <c r="AZ15" s="44"/>
      <c r="BA15" s="44"/>
      <c r="BB15" s="24" t="s">
        <v>38</v>
      </c>
      <c r="BC15" s="45" t="s">
        <v>694</v>
      </c>
      <c r="BD15" s="45"/>
      <c r="BE15" s="45"/>
      <c r="BF15" s="45"/>
      <c r="BG15" s="45"/>
      <c r="BI15" s="44"/>
      <c r="BJ15" s="44"/>
      <c r="BK15" s="44"/>
      <c r="BL15" s="44"/>
      <c r="BM15" s="44"/>
      <c r="BN15" s="24" t="s">
        <v>38</v>
      </c>
      <c r="BO15" s="45" t="s">
        <v>694</v>
      </c>
      <c r="BP15" s="45"/>
      <c r="BQ15" s="45"/>
      <c r="BR15" s="45"/>
      <c r="BS15" s="45"/>
      <c r="BU15" s="44"/>
      <c r="BV15" s="44"/>
      <c r="BW15" s="44"/>
      <c r="BX15" s="44"/>
      <c r="BY15" s="44"/>
      <c r="BZ15" s="24" t="s">
        <v>38</v>
      </c>
      <c r="CA15" s="45" t="s">
        <v>694</v>
      </c>
      <c r="CB15" s="45"/>
      <c r="CC15" s="45"/>
      <c r="CD15" s="45"/>
      <c r="CE15" s="45"/>
      <c r="CG15" s="44"/>
      <c r="CH15" s="44"/>
      <c r="CI15" s="44"/>
      <c r="CJ15" s="44"/>
      <c r="CK15" s="44"/>
      <c r="CL15" s="24" t="s">
        <v>38</v>
      </c>
      <c r="CM15" s="45" t="s">
        <v>694</v>
      </c>
      <c r="CN15" s="45"/>
      <c r="CO15" s="45"/>
      <c r="CP15" s="45"/>
      <c r="CQ15" s="45"/>
    </row>
    <row r="16" ht="48" customHeight="1" spans="1:95">
      <c r="A16" s="46" t="s">
        <v>784</v>
      </c>
      <c r="B16" s="47" t="s">
        <v>785</v>
      </c>
      <c r="C16" s="47"/>
      <c r="D16" s="47"/>
      <c r="E16" s="47"/>
      <c r="F16" s="24"/>
      <c r="G16" s="25" t="s">
        <v>47</v>
      </c>
      <c r="H16" s="48">
        <v>0</v>
      </c>
      <c r="I16" s="68">
        <v>0</v>
      </c>
      <c r="J16" s="25" t="s">
        <v>48</v>
      </c>
      <c r="K16" s="69" t="s">
        <v>49</v>
      </c>
      <c r="M16" s="46" t="s">
        <v>784</v>
      </c>
      <c r="N16" s="47" t="s">
        <v>785</v>
      </c>
      <c r="O16" s="47"/>
      <c r="P16" s="47"/>
      <c r="Q16" s="47"/>
      <c r="R16" s="24"/>
      <c r="S16" s="25" t="s">
        <v>47</v>
      </c>
      <c r="T16" s="48">
        <v>0</v>
      </c>
      <c r="U16" s="68">
        <v>0</v>
      </c>
      <c r="V16" s="25" t="s">
        <v>48</v>
      </c>
      <c r="W16" s="69" t="s">
        <v>49</v>
      </c>
      <c r="Y16" s="46" t="s">
        <v>784</v>
      </c>
      <c r="Z16" s="47" t="s">
        <v>785</v>
      </c>
      <c r="AA16" s="47"/>
      <c r="AB16" s="47"/>
      <c r="AC16" s="47"/>
      <c r="AD16" s="24"/>
      <c r="AE16" s="25" t="s">
        <v>47</v>
      </c>
      <c r="AF16" s="48">
        <v>0</v>
      </c>
      <c r="AG16" s="68">
        <v>0</v>
      </c>
      <c r="AH16" s="25" t="s">
        <v>48</v>
      </c>
      <c r="AI16" s="69" t="s">
        <v>49</v>
      </c>
      <c r="AK16" s="46" t="s">
        <v>784</v>
      </c>
      <c r="AL16" s="47" t="s">
        <v>785</v>
      </c>
      <c r="AM16" s="47"/>
      <c r="AN16" s="47"/>
      <c r="AO16" s="47"/>
      <c r="AP16" s="24"/>
      <c r="AQ16" s="25" t="s">
        <v>47</v>
      </c>
      <c r="AR16" s="48">
        <v>0</v>
      </c>
      <c r="AS16" s="68">
        <v>0</v>
      </c>
      <c r="AT16" s="25" t="s">
        <v>48</v>
      </c>
      <c r="AU16" s="69" t="s">
        <v>49</v>
      </c>
      <c r="AW16" s="46" t="s">
        <v>784</v>
      </c>
      <c r="AX16" s="47" t="s">
        <v>785</v>
      </c>
      <c r="AY16" s="47"/>
      <c r="AZ16" s="47"/>
      <c r="BA16" s="47"/>
      <c r="BB16" s="24"/>
      <c r="BC16" s="25" t="s">
        <v>47</v>
      </c>
      <c r="BD16" s="48">
        <v>0</v>
      </c>
      <c r="BE16" s="68">
        <v>0</v>
      </c>
      <c r="BF16" s="25" t="s">
        <v>48</v>
      </c>
      <c r="BG16" s="69" t="s">
        <v>49</v>
      </c>
      <c r="BI16" s="46" t="s">
        <v>784</v>
      </c>
      <c r="BJ16" s="47" t="s">
        <v>785</v>
      </c>
      <c r="BK16" s="47"/>
      <c r="BL16" s="47"/>
      <c r="BM16" s="47"/>
      <c r="BN16" s="24"/>
      <c r="BO16" s="25" t="s">
        <v>47</v>
      </c>
      <c r="BP16" s="48">
        <v>0</v>
      </c>
      <c r="BQ16" s="68">
        <v>0</v>
      </c>
      <c r="BR16" s="25" t="s">
        <v>48</v>
      </c>
      <c r="BS16" s="69" t="s">
        <v>49</v>
      </c>
      <c r="BU16" s="46" t="s">
        <v>784</v>
      </c>
      <c r="BV16" s="47" t="s">
        <v>785</v>
      </c>
      <c r="BW16" s="47"/>
      <c r="BX16" s="47"/>
      <c r="BY16" s="47"/>
      <c r="BZ16" s="24"/>
      <c r="CA16" s="25" t="s">
        <v>47</v>
      </c>
      <c r="CB16" s="48">
        <v>0</v>
      </c>
      <c r="CC16" s="68">
        <v>0</v>
      </c>
      <c r="CD16" s="25" t="s">
        <v>48</v>
      </c>
      <c r="CE16" s="69" t="s">
        <v>49</v>
      </c>
      <c r="CG16" s="46" t="s">
        <v>784</v>
      </c>
      <c r="CH16" s="47" t="s">
        <v>785</v>
      </c>
      <c r="CI16" s="47"/>
      <c r="CJ16" s="47"/>
      <c r="CK16" s="47"/>
      <c r="CL16" s="24"/>
      <c r="CM16" s="25" t="s">
        <v>47</v>
      </c>
      <c r="CN16" s="48">
        <v>0</v>
      </c>
      <c r="CO16" s="68">
        <v>0</v>
      </c>
      <c r="CP16" s="25" t="s">
        <v>48</v>
      </c>
      <c r="CQ16" s="69" t="s">
        <v>49</v>
      </c>
    </row>
    <row r="17" ht="48" customHeight="1" spans="1:95">
      <c r="A17" s="46" t="s">
        <v>786</v>
      </c>
      <c r="B17" s="47" t="s">
        <v>787</v>
      </c>
      <c r="C17" s="47"/>
      <c r="D17" s="47"/>
      <c r="E17" s="47"/>
      <c r="F17" s="24"/>
      <c r="G17" s="25" t="s">
        <v>52</v>
      </c>
      <c r="H17" s="49">
        <v>0</v>
      </c>
      <c r="I17" s="70">
        <v>0</v>
      </c>
      <c r="J17" s="25" t="s">
        <v>55</v>
      </c>
      <c r="K17" s="69" t="s">
        <v>529</v>
      </c>
      <c r="M17" s="46" t="s">
        <v>786</v>
      </c>
      <c r="N17" s="47" t="s">
        <v>787</v>
      </c>
      <c r="O17" s="47"/>
      <c r="P17" s="47"/>
      <c r="Q17" s="47"/>
      <c r="R17" s="24"/>
      <c r="S17" s="25" t="s">
        <v>52</v>
      </c>
      <c r="T17" s="49">
        <v>0</v>
      </c>
      <c r="U17" s="70">
        <v>0</v>
      </c>
      <c r="V17" s="25" t="s">
        <v>55</v>
      </c>
      <c r="W17" s="69" t="s">
        <v>529</v>
      </c>
      <c r="Y17" s="46" t="s">
        <v>786</v>
      </c>
      <c r="Z17" s="47" t="s">
        <v>787</v>
      </c>
      <c r="AA17" s="47"/>
      <c r="AB17" s="47"/>
      <c r="AC17" s="47"/>
      <c r="AD17" s="24"/>
      <c r="AE17" s="25" t="s">
        <v>52</v>
      </c>
      <c r="AF17" s="49">
        <v>0</v>
      </c>
      <c r="AG17" s="70">
        <v>0</v>
      </c>
      <c r="AH17" s="25" t="s">
        <v>55</v>
      </c>
      <c r="AI17" s="69" t="s">
        <v>529</v>
      </c>
      <c r="AK17" s="46" t="s">
        <v>786</v>
      </c>
      <c r="AL17" s="47" t="s">
        <v>787</v>
      </c>
      <c r="AM17" s="47"/>
      <c r="AN17" s="47"/>
      <c r="AO17" s="47"/>
      <c r="AP17" s="24"/>
      <c r="AQ17" s="25" t="s">
        <v>52</v>
      </c>
      <c r="AR17" s="49">
        <v>0</v>
      </c>
      <c r="AS17" s="70">
        <v>0</v>
      </c>
      <c r="AT17" s="25" t="s">
        <v>55</v>
      </c>
      <c r="AU17" s="69" t="s">
        <v>529</v>
      </c>
      <c r="AW17" s="46" t="s">
        <v>786</v>
      </c>
      <c r="AX17" s="47" t="s">
        <v>787</v>
      </c>
      <c r="AY17" s="47"/>
      <c r="AZ17" s="47"/>
      <c r="BA17" s="47"/>
      <c r="BB17" s="24"/>
      <c r="BC17" s="25" t="s">
        <v>52</v>
      </c>
      <c r="BD17" s="49">
        <v>0</v>
      </c>
      <c r="BE17" s="70">
        <v>0</v>
      </c>
      <c r="BF17" s="25" t="s">
        <v>55</v>
      </c>
      <c r="BG17" s="69" t="s">
        <v>529</v>
      </c>
      <c r="BI17" s="46" t="s">
        <v>786</v>
      </c>
      <c r="BJ17" s="47" t="s">
        <v>787</v>
      </c>
      <c r="BK17" s="47"/>
      <c r="BL17" s="47"/>
      <c r="BM17" s="47"/>
      <c r="BN17" s="24"/>
      <c r="BO17" s="25" t="s">
        <v>52</v>
      </c>
      <c r="BP17" s="49">
        <v>0</v>
      </c>
      <c r="BQ17" s="70">
        <v>0</v>
      </c>
      <c r="BR17" s="25" t="s">
        <v>55</v>
      </c>
      <c r="BS17" s="69" t="s">
        <v>529</v>
      </c>
      <c r="BU17" s="46" t="s">
        <v>786</v>
      </c>
      <c r="BV17" s="47" t="s">
        <v>787</v>
      </c>
      <c r="BW17" s="47"/>
      <c r="BX17" s="47"/>
      <c r="BY17" s="47"/>
      <c r="BZ17" s="24"/>
      <c r="CA17" s="25" t="s">
        <v>52</v>
      </c>
      <c r="CB17" s="49">
        <v>0</v>
      </c>
      <c r="CC17" s="70">
        <v>0</v>
      </c>
      <c r="CD17" s="25" t="s">
        <v>55</v>
      </c>
      <c r="CE17" s="69" t="s">
        <v>529</v>
      </c>
      <c r="CG17" s="46" t="s">
        <v>786</v>
      </c>
      <c r="CH17" s="47" t="s">
        <v>787</v>
      </c>
      <c r="CI17" s="47"/>
      <c r="CJ17" s="47"/>
      <c r="CK17" s="47"/>
      <c r="CL17" s="24"/>
      <c r="CM17" s="25" t="s">
        <v>52</v>
      </c>
      <c r="CN17" s="49">
        <v>0</v>
      </c>
      <c r="CO17" s="70">
        <v>0</v>
      </c>
      <c r="CP17" s="25" t="s">
        <v>55</v>
      </c>
      <c r="CQ17" s="69" t="s">
        <v>529</v>
      </c>
    </row>
    <row r="18" ht="70" customHeight="1" spans="1:95">
      <c r="A18" s="50" t="s">
        <v>788</v>
      </c>
      <c r="B18" s="51" t="s">
        <v>789</v>
      </c>
      <c r="C18" s="52"/>
      <c r="D18" s="52"/>
      <c r="E18" s="52"/>
      <c r="F18" s="53"/>
      <c r="G18" s="54" t="s">
        <v>58</v>
      </c>
      <c r="H18" s="55"/>
      <c r="I18" s="55"/>
      <c r="J18" s="55"/>
      <c r="K18" s="55"/>
      <c r="M18" s="50" t="s">
        <v>788</v>
      </c>
      <c r="N18" s="51" t="s">
        <v>789</v>
      </c>
      <c r="O18" s="52"/>
      <c r="P18" s="52"/>
      <c r="Q18" s="52"/>
      <c r="R18" s="53"/>
      <c r="S18" s="54" t="s">
        <v>58</v>
      </c>
      <c r="T18" s="55"/>
      <c r="U18" s="55"/>
      <c r="V18" s="55"/>
      <c r="W18" s="55"/>
      <c r="Y18" s="50" t="s">
        <v>788</v>
      </c>
      <c r="Z18" s="51" t="s">
        <v>789</v>
      </c>
      <c r="AA18" s="52"/>
      <c r="AB18" s="52"/>
      <c r="AC18" s="52"/>
      <c r="AD18" s="53"/>
      <c r="AE18" s="54" t="s">
        <v>58</v>
      </c>
      <c r="AF18" s="55"/>
      <c r="AG18" s="55"/>
      <c r="AH18" s="55"/>
      <c r="AI18" s="55"/>
      <c r="AK18" s="50" t="s">
        <v>788</v>
      </c>
      <c r="AL18" s="51" t="s">
        <v>789</v>
      </c>
      <c r="AM18" s="52"/>
      <c r="AN18" s="52"/>
      <c r="AO18" s="52"/>
      <c r="AP18" s="53"/>
      <c r="AQ18" s="54" t="s">
        <v>58</v>
      </c>
      <c r="AR18" s="55"/>
      <c r="AS18" s="55"/>
      <c r="AT18" s="55"/>
      <c r="AU18" s="55"/>
      <c r="AW18" s="50" t="s">
        <v>788</v>
      </c>
      <c r="AX18" s="51" t="s">
        <v>789</v>
      </c>
      <c r="AY18" s="52"/>
      <c r="AZ18" s="52"/>
      <c r="BA18" s="52"/>
      <c r="BB18" s="53"/>
      <c r="BC18" s="54" t="s">
        <v>58</v>
      </c>
      <c r="BD18" s="55"/>
      <c r="BE18" s="55"/>
      <c r="BF18" s="55"/>
      <c r="BG18" s="55"/>
      <c r="BI18" s="50" t="s">
        <v>788</v>
      </c>
      <c r="BJ18" s="51" t="s">
        <v>789</v>
      </c>
      <c r="BK18" s="52"/>
      <c r="BL18" s="52"/>
      <c r="BM18" s="52"/>
      <c r="BN18" s="53"/>
      <c r="BO18" s="54" t="s">
        <v>58</v>
      </c>
      <c r="BP18" s="55"/>
      <c r="BQ18" s="55"/>
      <c r="BR18" s="55"/>
      <c r="BS18" s="55"/>
      <c r="BU18" s="50" t="s">
        <v>788</v>
      </c>
      <c r="BV18" s="51" t="s">
        <v>789</v>
      </c>
      <c r="BW18" s="52"/>
      <c r="BX18" s="52"/>
      <c r="BY18" s="52"/>
      <c r="BZ18" s="53"/>
      <c r="CA18" s="54" t="s">
        <v>58</v>
      </c>
      <c r="CB18" s="55"/>
      <c r="CC18" s="55"/>
      <c r="CD18" s="55"/>
      <c r="CE18" s="55"/>
      <c r="CG18" s="50" t="s">
        <v>788</v>
      </c>
      <c r="CH18" s="51" t="s">
        <v>789</v>
      </c>
      <c r="CI18" s="52"/>
      <c r="CJ18" s="52"/>
      <c r="CK18" s="52"/>
      <c r="CL18" s="53"/>
      <c r="CM18" s="54" t="s">
        <v>58</v>
      </c>
      <c r="CN18" s="55"/>
      <c r="CO18" s="55"/>
      <c r="CP18" s="55"/>
      <c r="CQ18" s="55"/>
    </row>
  </sheetData>
  <sheetProtection selectLockedCells="1" formatCells="0" formatColumns="0" formatRows="0" insertRows="0" insertColumns="0" insertHyperlinks="0" deleteColumns="0" deleteRows="0" sort="0" autoFilter="0" pivotTables="0"/>
  <mergeCells count="248">
    <mergeCell ref="B1:C1"/>
    <mergeCell ref="D1:E1"/>
    <mergeCell ref="N1:O1"/>
    <mergeCell ref="P1:Q1"/>
    <mergeCell ref="Z1:AA1"/>
    <mergeCell ref="AB1:AC1"/>
    <mergeCell ref="AL1:AM1"/>
    <mergeCell ref="AN1:AO1"/>
    <mergeCell ref="AX1:AY1"/>
    <mergeCell ref="AZ1:BA1"/>
    <mergeCell ref="BJ1:BK1"/>
    <mergeCell ref="BL1:BM1"/>
    <mergeCell ref="BV1:BW1"/>
    <mergeCell ref="BX1:BY1"/>
    <mergeCell ref="CH1:CI1"/>
    <mergeCell ref="CJ1:CK1"/>
    <mergeCell ref="G3:K3"/>
    <mergeCell ref="S3:W3"/>
    <mergeCell ref="AE3:AI3"/>
    <mergeCell ref="AQ3:AU3"/>
    <mergeCell ref="BC3:BG3"/>
    <mergeCell ref="BO3:BS3"/>
    <mergeCell ref="CA3:CE3"/>
    <mergeCell ref="CM3:CQ3"/>
    <mergeCell ref="H4:K4"/>
    <mergeCell ref="T4:W4"/>
    <mergeCell ref="AF4:AI4"/>
    <mergeCell ref="AR4:AU4"/>
    <mergeCell ref="BD4:BG4"/>
    <mergeCell ref="BP4:BS4"/>
    <mergeCell ref="CB4:CE4"/>
    <mergeCell ref="CN4:CQ4"/>
    <mergeCell ref="B6:E6"/>
    <mergeCell ref="N6:Q6"/>
    <mergeCell ref="Z6:AC6"/>
    <mergeCell ref="AL6:AO6"/>
    <mergeCell ref="AX6:BA6"/>
    <mergeCell ref="BJ6:BM6"/>
    <mergeCell ref="BV6:BY6"/>
    <mergeCell ref="CH6:CK6"/>
    <mergeCell ref="G7:K7"/>
    <mergeCell ref="S7:W7"/>
    <mergeCell ref="AE7:AI7"/>
    <mergeCell ref="AQ7:AU7"/>
    <mergeCell ref="BC7:BG7"/>
    <mergeCell ref="BO7:BS7"/>
    <mergeCell ref="CA7:CE7"/>
    <mergeCell ref="CM7:CQ7"/>
    <mergeCell ref="H8:K8"/>
    <mergeCell ref="T8:W8"/>
    <mergeCell ref="AF8:AI8"/>
    <mergeCell ref="AR8:AU8"/>
    <mergeCell ref="BD8:BG8"/>
    <mergeCell ref="BP8:BS8"/>
    <mergeCell ref="CB8:CE8"/>
    <mergeCell ref="CN8:CQ8"/>
    <mergeCell ref="B10:E10"/>
    <mergeCell ref="N10:Q10"/>
    <mergeCell ref="Z10:AC10"/>
    <mergeCell ref="AL10:AO10"/>
    <mergeCell ref="AX10:BA10"/>
    <mergeCell ref="BJ10:BM10"/>
    <mergeCell ref="BV10:BY10"/>
    <mergeCell ref="CH10:CK10"/>
    <mergeCell ref="G11:K11"/>
    <mergeCell ref="S11:W11"/>
    <mergeCell ref="AE11:AI11"/>
    <mergeCell ref="AQ11:AU11"/>
    <mergeCell ref="BC11:BG11"/>
    <mergeCell ref="BO11:BS11"/>
    <mergeCell ref="CA11:CE11"/>
    <mergeCell ref="CM11:CQ11"/>
    <mergeCell ref="H12:K12"/>
    <mergeCell ref="T12:W12"/>
    <mergeCell ref="AF12:AI12"/>
    <mergeCell ref="AR12:AU12"/>
    <mergeCell ref="BD12:BG12"/>
    <mergeCell ref="BP12:BS12"/>
    <mergeCell ref="CB12:CE12"/>
    <mergeCell ref="CN12:CQ12"/>
    <mergeCell ref="G15:K15"/>
    <mergeCell ref="S15:W15"/>
    <mergeCell ref="AE15:AI15"/>
    <mergeCell ref="AQ15:AU15"/>
    <mergeCell ref="BC15:BG15"/>
    <mergeCell ref="BO15:BS15"/>
    <mergeCell ref="CA15:CE15"/>
    <mergeCell ref="CM15:CQ15"/>
    <mergeCell ref="B16:E16"/>
    <mergeCell ref="N16:Q16"/>
    <mergeCell ref="Z16:AC16"/>
    <mergeCell ref="AL16:AO16"/>
    <mergeCell ref="AX16:BA16"/>
    <mergeCell ref="BJ16:BM16"/>
    <mergeCell ref="BV16:BY16"/>
    <mergeCell ref="CH16:CK16"/>
    <mergeCell ref="B17:E17"/>
    <mergeCell ref="N17:Q17"/>
    <mergeCell ref="Z17:AC17"/>
    <mergeCell ref="AL17:AO17"/>
    <mergeCell ref="AX17:BA17"/>
    <mergeCell ref="BJ17:BM17"/>
    <mergeCell ref="BV17:BY17"/>
    <mergeCell ref="CH17:CK17"/>
    <mergeCell ref="B18:E18"/>
    <mergeCell ref="H18:K18"/>
    <mergeCell ref="N18:Q18"/>
    <mergeCell ref="T18:W18"/>
    <mergeCell ref="Z18:AC18"/>
    <mergeCell ref="AF18:AI18"/>
    <mergeCell ref="AL18:AO18"/>
    <mergeCell ref="AR18:AU18"/>
    <mergeCell ref="AX18:BA18"/>
    <mergeCell ref="BD18:BG18"/>
    <mergeCell ref="BJ18:BM18"/>
    <mergeCell ref="BP18:BS18"/>
    <mergeCell ref="BV18:BY18"/>
    <mergeCell ref="CB18:CE18"/>
    <mergeCell ref="CH18:CK18"/>
    <mergeCell ref="CN18:CQ18"/>
    <mergeCell ref="A7:A9"/>
    <mergeCell ref="A12:A14"/>
    <mergeCell ref="F3:F6"/>
    <mergeCell ref="F7:F10"/>
    <mergeCell ref="F11:F14"/>
    <mergeCell ref="F15:F18"/>
    <mergeCell ref="G5:G6"/>
    <mergeCell ref="G9:G10"/>
    <mergeCell ref="G13:G14"/>
    <mergeCell ref="M7:M9"/>
    <mergeCell ref="M12:M14"/>
    <mergeCell ref="R3:R6"/>
    <mergeCell ref="R7:R10"/>
    <mergeCell ref="R11:R14"/>
    <mergeCell ref="R15:R18"/>
    <mergeCell ref="S5:S6"/>
    <mergeCell ref="S9:S10"/>
    <mergeCell ref="S13:S14"/>
    <mergeCell ref="Y7:Y9"/>
    <mergeCell ref="Y12:Y14"/>
    <mergeCell ref="AD3:AD6"/>
    <mergeCell ref="AD7:AD10"/>
    <mergeCell ref="AD11:AD14"/>
    <mergeCell ref="AD15:AD18"/>
    <mergeCell ref="AE5:AE6"/>
    <mergeCell ref="AE9:AE10"/>
    <mergeCell ref="AE13:AE14"/>
    <mergeCell ref="AK7:AK9"/>
    <mergeCell ref="AK12:AK14"/>
    <mergeCell ref="AP3:AP6"/>
    <mergeCell ref="AP7:AP10"/>
    <mergeCell ref="AP11:AP14"/>
    <mergeCell ref="AP15:AP18"/>
    <mergeCell ref="AQ5:AQ6"/>
    <mergeCell ref="AQ9:AQ10"/>
    <mergeCell ref="AQ13:AQ14"/>
    <mergeCell ref="AW7:AW9"/>
    <mergeCell ref="AW12:AW14"/>
    <mergeCell ref="BB3:BB6"/>
    <mergeCell ref="BB7:BB10"/>
    <mergeCell ref="BB11:BB14"/>
    <mergeCell ref="BB15:BB18"/>
    <mergeCell ref="BC5:BC6"/>
    <mergeCell ref="BC9:BC10"/>
    <mergeCell ref="BC13:BC14"/>
    <mergeCell ref="BI7:BI9"/>
    <mergeCell ref="BI12:BI14"/>
    <mergeCell ref="BN3:BN6"/>
    <mergeCell ref="BN7:BN10"/>
    <mergeCell ref="BN11:BN14"/>
    <mergeCell ref="BN15:BN18"/>
    <mergeCell ref="BO5:BO6"/>
    <mergeCell ref="BO9:BO10"/>
    <mergeCell ref="BO13:BO14"/>
    <mergeCell ref="BU7:BU9"/>
    <mergeCell ref="BU12:BU14"/>
    <mergeCell ref="BZ3:BZ6"/>
    <mergeCell ref="BZ7:BZ10"/>
    <mergeCell ref="BZ11:BZ14"/>
    <mergeCell ref="BZ15:BZ18"/>
    <mergeCell ref="CA5:CA6"/>
    <mergeCell ref="CA9:CA10"/>
    <mergeCell ref="CA13:CA14"/>
    <mergeCell ref="CG7:CG9"/>
    <mergeCell ref="CG12:CG14"/>
    <mergeCell ref="CL3:CL6"/>
    <mergeCell ref="CL7:CL10"/>
    <mergeCell ref="CL11:CL14"/>
    <mergeCell ref="CL15:CL18"/>
    <mergeCell ref="CM5:CM6"/>
    <mergeCell ref="CM9:CM10"/>
    <mergeCell ref="CM13:CM14"/>
    <mergeCell ref="A4:B5"/>
    <mergeCell ref="M4:N5"/>
    <mergeCell ref="Y4:Z5"/>
    <mergeCell ref="AK4:AL5"/>
    <mergeCell ref="AW4:AX5"/>
    <mergeCell ref="BI4:BJ5"/>
    <mergeCell ref="BU4:BV5"/>
    <mergeCell ref="CG4:CH5"/>
    <mergeCell ref="C4:E5"/>
    <mergeCell ref="O4:Q5"/>
    <mergeCell ref="AA4:AC5"/>
    <mergeCell ref="AM4:AO5"/>
    <mergeCell ref="AY4:BA5"/>
    <mergeCell ref="BK4:BM5"/>
    <mergeCell ref="BW4:BY5"/>
    <mergeCell ref="CI4:CK5"/>
    <mergeCell ref="H5:K6"/>
    <mergeCell ref="T5:W6"/>
    <mergeCell ref="AF5:AI6"/>
    <mergeCell ref="AR5:AU6"/>
    <mergeCell ref="BD5:BG6"/>
    <mergeCell ref="BP5:BS6"/>
    <mergeCell ref="CB5:CE6"/>
    <mergeCell ref="CN5:CQ6"/>
    <mergeCell ref="B7:E9"/>
    <mergeCell ref="N7:Q9"/>
    <mergeCell ref="Z7:AC9"/>
    <mergeCell ref="AL7:AO9"/>
    <mergeCell ref="AX7:BA9"/>
    <mergeCell ref="BJ7:BM9"/>
    <mergeCell ref="BV7:BY9"/>
    <mergeCell ref="CH7:CK9"/>
    <mergeCell ref="H9:K10"/>
    <mergeCell ref="T9:W10"/>
    <mergeCell ref="AF9:AI10"/>
    <mergeCell ref="AR9:AU10"/>
    <mergeCell ref="BD9:BG10"/>
    <mergeCell ref="BP9:BS10"/>
    <mergeCell ref="CB9:CE10"/>
    <mergeCell ref="CN9:CQ10"/>
    <mergeCell ref="B12:E14"/>
    <mergeCell ref="N12:Q14"/>
    <mergeCell ref="Z12:AC14"/>
    <mergeCell ref="AL12:AO14"/>
    <mergeCell ref="AX12:BA14"/>
    <mergeCell ref="BJ12:BM14"/>
    <mergeCell ref="BV12:BY14"/>
    <mergeCell ref="CH12:CK14"/>
    <mergeCell ref="H13:K14"/>
    <mergeCell ref="T13:W14"/>
    <mergeCell ref="AF13:AI14"/>
    <mergeCell ref="AR13:AU14"/>
    <mergeCell ref="BD13:BG14"/>
    <mergeCell ref="BP13:BS14"/>
    <mergeCell ref="CB13:CE14"/>
    <mergeCell ref="CN13:CQ14"/>
  </mergeCells>
  <conditionalFormatting sqref="H16">
    <cfRule type="cellIs" dxfId="0" priority="22" operator="equal">
      <formula>0</formula>
    </cfRule>
  </conditionalFormatting>
  <conditionalFormatting sqref="I16">
    <cfRule type="cellIs" dxfId="0" priority="23" operator="equal">
      <formula>0</formula>
    </cfRule>
  </conditionalFormatting>
  <conditionalFormatting sqref="T16">
    <cfRule type="cellIs" dxfId="0" priority="19" operator="equal">
      <formula>0</formula>
    </cfRule>
  </conditionalFormatting>
  <conditionalFormatting sqref="U16">
    <cfRule type="cellIs" dxfId="0" priority="20" operator="equal">
      <formula>0</formula>
    </cfRule>
  </conditionalFormatting>
  <conditionalFormatting sqref="AF16">
    <cfRule type="cellIs" dxfId="0" priority="16" operator="equal">
      <formula>0</formula>
    </cfRule>
  </conditionalFormatting>
  <conditionalFormatting sqref="AG16">
    <cfRule type="cellIs" dxfId="0" priority="17" operator="equal">
      <formula>0</formula>
    </cfRule>
  </conditionalFormatting>
  <conditionalFormatting sqref="AR16">
    <cfRule type="cellIs" dxfId="0" priority="13" operator="equal">
      <formula>0</formula>
    </cfRule>
  </conditionalFormatting>
  <conditionalFormatting sqref="AS16">
    <cfRule type="cellIs" dxfId="0" priority="14" operator="equal">
      <formula>0</formula>
    </cfRule>
  </conditionalFormatting>
  <conditionalFormatting sqref="BD16">
    <cfRule type="cellIs" dxfId="0" priority="10" operator="equal">
      <formula>0</formula>
    </cfRule>
  </conditionalFormatting>
  <conditionalFormatting sqref="BE16">
    <cfRule type="cellIs" dxfId="0" priority="11" operator="equal">
      <formula>0</formula>
    </cfRule>
  </conditionalFormatting>
  <conditionalFormatting sqref="BP16">
    <cfRule type="cellIs" dxfId="0" priority="7" operator="equal">
      <formula>0</formula>
    </cfRule>
  </conditionalFormatting>
  <conditionalFormatting sqref="BQ16">
    <cfRule type="cellIs" dxfId="0" priority="8" operator="equal">
      <formula>0</formula>
    </cfRule>
  </conditionalFormatting>
  <conditionalFormatting sqref="CB16">
    <cfRule type="cellIs" dxfId="0" priority="4" operator="equal">
      <formula>0</formula>
    </cfRule>
  </conditionalFormatting>
  <conditionalFormatting sqref="CC16">
    <cfRule type="cellIs" dxfId="0" priority="5" operator="equal">
      <formula>0</formula>
    </cfRule>
  </conditionalFormatting>
  <conditionalFormatting sqref="CN16">
    <cfRule type="cellIs" dxfId="0" priority="1" operator="equal">
      <formula>0</formula>
    </cfRule>
  </conditionalFormatting>
  <conditionalFormatting sqref="CO16">
    <cfRule type="cellIs" dxfId="0" priority="2" operator="equal">
      <formula>0</formula>
    </cfRule>
  </conditionalFormatting>
  <conditionalFormatting sqref="H16:I17">
    <cfRule type="cellIs" dxfId="1" priority="26" operator="equal">
      <formula>0</formula>
    </cfRule>
  </conditionalFormatting>
  <conditionalFormatting sqref="T16:U17">
    <cfRule type="cellIs" dxfId="1" priority="21" operator="equal">
      <formula>0</formula>
    </cfRule>
  </conditionalFormatting>
  <conditionalFormatting sqref="AF16:AG17">
    <cfRule type="cellIs" dxfId="1" priority="18" operator="equal">
      <formula>0</formula>
    </cfRule>
  </conditionalFormatting>
  <conditionalFormatting sqref="AR16:AS17">
    <cfRule type="cellIs" dxfId="1" priority="15" operator="equal">
      <formula>0</formula>
    </cfRule>
  </conditionalFormatting>
  <conditionalFormatting sqref="BD16:BE17">
    <cfRule type="cellIs" dxfId="1" priority="12" operator="equal">
      <formula>0</formula>
    </cfRule>
  </conditionalFormatting>
  <conditionalFormatting sqref="BP16:BQ17">
    <cfRule type="cellIs" dxfId="1" priority="9" operator="equal">
      <formula>0</formula>
    </cfRule>
  </conditionalFormatting>
  <conditionalFormatting sqref="CB16:CC17">
    <cfRule type="cellIs" dxfId="1" priority="6" operator="equal">
      <formula>0</formula>
    </cfRule>
  </conditionalFormatting>
  <conditionalFormatting sqref="CN16:CO17">
    <cfRule type="cellIs" dxfId="1" priority="3" operator="equal">
      <formula>0</formula>
    </cfRule>
  </conditionalFormatting>
  <pageMargins left="0.75" right="0.75" top="1" bottom="1" header="0.5" footer="0.5"/>
  <headerFooter/>
  <ignoredErrors>
    <ignoredError sqref="Y4 M4 Z12 N12 B12" unlockedFormula="1"/>
  </ignoredErrors>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0"/>
  <sheetViews>
    <sheetView tabSelected="1" workbookViewId="0">
      <selection activeCell="R39" sqref="R39"/>
    </sheetView>
  </sheetViews>
  <sheetFormatPr defaultColWidth="8.72727272727273" defaultRowHeight="14"/>
  <sheetData>
    <row r="1" spans="1:20">
      <c r="A1" s="1" t="s">
        <v>790</v>
      </c>
      <c r="B1" s="2"/>
      <c r="C1" s="2"/>
      <c r="D1" s="2"/>
      <c r="E1" s="2"/>
      <c r="F1" s="2"/>
      <c r="G1" s="2"/>
      <c r="H1" s="2"/>
      <c r="I1" s="2"/>
      <c r="J1" s="2"/>
      <c r="K1" s="2"/>
      <c r="L1" s="2"/>
      <c r="M1" s="2"/>
      <c r="N1" s="2"/>
      <c r="O1" s="2"/>
      <c r="P1" s="7"/>
      <c r="Q1" s="10"/>
      <c r="R1" s="10"/>
      <c r="S1" s="10"/>
      <c r="T1" s="10"/>
    </row>
    <row r="2" spans="1:20">
      <c r="A2" s="3"/>
      <c r="B2" s="4"/>
      <c r="C2" s="4"/>
      <c r="D2" s="4"/>
      <c r="E2" s="4"/>
      <c r="F2" s="4"/>
      <c r="G2" s="4"/>
      <c r="H2" s="4"/>
      <c r="I2" s="4"/>
      <c r="J2" s="4"/>
      <c r="K2" s="4"/>
      <c r="L2" s="4"/>
      <c r="M2" s="4"/>
      <c r="N2" s="4"/>
      <c r="O2" s="4"/>
      <c r="P2" s="8"/>
      <c r="Q2" s="10"/>
      <c r="R2" s="10"/>
      <c r="S2" s="10"/>
      <c r="T2" s="10"/>
    </row>
    <row r="3" spans="1:20">
      <c r="A3" s="3"/>
      <c r="B3" s="4"/>
      <c r="C3" s="4"/>
      <c r="D3" s="4"/>
      <c r="E3" s="4"/>
      <c r="F3" s="4"/>
      <c r="G3" s="4"/>
      <c r="H3" s="4"/>
      <c r="I3" s="4"/>
      <c r="J3" s="4"/>
      <c r="K3" s="4"/>
      <c r="L3" s="4"/>
      <c r="M3" s="4"/>
      <c r="N3" s="4"/>
      <c r="O3" s="4"/>
      <c r="P3" s="8"/>
      <c r="Q3" s="10"/>
      <c r="R3" s="10"/>
      <c r="S3" s="10"/>
      <c r="T3" s="10"/>
    </row>
    <row r="4" spans="1:20">
      <c r="A4" s="3"/>
      <c r="B4" s="4"/>
      <c r="C4" s="4"/>
      <c r="D4" s="4"/>
      <c r="E4" s="4"/>
      <c r="F4" s="4"/>
      <c r="G4" s="4"/>
      <c r="H4" s="4"/>
      <c r="I4" s="4"/>
      <c r="J4" s="4"/>
      <c r="K4" s="4"/>
      <c r="L4" s="4"/>
      <c r="M4" s="4"/>
      <c r="N4" s="4"/>
      <c r="O4" s="4"/>
      <c r="P4" s="8"/>
      <c r="Q4" s="10"/>
      <c r="R4" s="10"/>
      <c r="S4" s="10"/>
      <c r="T4" s="10"/>
    </row>
    <row r="5" spans="1:20">
      <c r="A5" s="3"/>
      <c r="B5" s="4"/>
      <c r="C5" s="4"/>
      <c r="D5" s="4"/>
      <c r="E5" s="4"/>
      <c r="F5" s="4"/>
      <c r="G5" s="4"/>
      <c r="H5" s="4"/>
      <c r="I5" s="4"/>
      <c r="J5" s="4"/>
      <c r="K5" s="4"/>
      <c r="L5" s="4"/>
      <c r="M5" s="4"/>
      <c r="N5" s="4"/>
      <c r="O5" s="4"/>
      <c r="P5" s="8"/>
      <c r="Q5" s="10"/>
      <c r="R5" s="10"/>
      <c r="S5" s="10"/>
      <c r="T5" s="10"/>
    </row>
    <row r="6" spans="1:20">
      <c r="A6" s="3"/>
      <c r="B6" s="4"/>
      <c r="C6" s="4"/>
      <c r="D6" s="4"/>
      <c r="E6" s="4"/>
      <c r="F6" s="4"/>
      <c r="G6" s="4"/>
      <c r="H6" s="4"/>
      <c r="I6" s="4"/>
      <c r="J6" s="4"/>
      <c r="K6" s="4"/>
      <c r="L6" s="4"/>
      <c r="M6" s="4"/>
      <c r="N6" s="4"/>
      <c r="O6" s="4"/>
      <c r="P6" s="8"/>
      <c r="Q6" s="10"/>
      <c r="R6" s="10"/>
      <c r="S6" s="10"/>
      <c r="T6" s="10"/>
    </row>
    <row r="7" spans="1:20">
      <c r="A7" s="3"/>
      <c r="B7" s="4"/>
      <c r="C7" s="4"/>
      <c r="D7" s="4"/>
      <c r="E7" s="4"/>
      <c r="F7" s="4"/>
      <c r="G7" s="4"/>
      <c r="H7" s="4"/>
      <c r="I7" s="4"/>
      <c r="J7" s="4"/>
      <c r="K7" s="4"/>
      <c r="L7" s="4"/>
      <c r="M7" s="4"/>
      <c r="N7" s="4"/>
      <c r="O7" s="4"/>
      <c r="P7" s="8"/>
      <c r="Q7" s="10"/>
      <c r="R7" s="10"/>
      <c r="S7" s="10"/>
      <c r="T7" s="10"/>
    </row>
    <row r="8" spans="1:20">
      <c r="A8" s="3"/>
      <c r="B8" s="4"/>
      <c r="C8" s="4"/>
      <c r="D8" s="4"/>
      <c r="E8" s="4"/>
      <c r="F8" s="4"/>
      <c r="G8" s="4"/>
      <c r="H8" s="4"/>
      <c r="I8" s="4"/>
      <c r="J8" s="4"/>
      <c r="K8" s="4"/>
      <c r="L8" s="4"/>
      <c r="M8" s="4"/>
      <c r="N8" s="4"/>
      <c r="O8" s="4"/>
      <c r="P8" s="8"/>
      <c r="Q8" s="10"/>
      <c r="R8" s="10"/>
      <c r="S8" s="10"/>
      <c r="T8" s="10"/>
    </row>
    <row r="9" spans="1:20">
      <c r="A9" s="3"/>
      <c r="B9" s="4"/>
      <c r="C9" s="4"/>
      <c r="D9" s="4"/>
      <c r="E9" s="4"/>
      <c r="F9" s="4"/>
      <c r="G9" s="4"/>
      <c r="H9" s="4"/>
      <c r="I9" s="4"/>
      <c r="J9" s="4"/>
      <c r="K9" s="4"/>
      <c r="L9" s="4"/>
      <c r="M9" s="4"/>
      <c r="N9" s="4"/>
      <c r="O9" s="4"/>
      <c r="P9" s="8"/>
      <c r="Q9" s="10"/>
      <c r="R9" s="10"/>
      <c r="S9" s="10"/>
      <c r="T9" s="10"/>
    </row>
    <row r="10" spans="1:20">
      <c r="A10" s="3"/>
      <c r="B10" s="4"/>
      <c r="C10" s="4"/>
      <c r="D10" s="4"/>
      <c r="E10" s="4"/>
      <c r="F10" s="4"/>
      <c r="G10" s="4"/>
      <c r="H10" s="4"/>
      <c r="I10" s="4"/>
      <c r="J10" s="4"/>
      <c r="K10" s="4"/>
      <c r="L10" s="4"/>
      <c r="M10" s="4"/>
      <c r="N10" s="4"/>
      <c r="O10" s="4"/>
      <c r="P10" s="8"/>
      <c r="Q10" s="10"/>
      <c r="R10" s="10"/>
      <c r="S10" s="10"/>
      <c r="T10" s="10"/>
    </row>
    <row r="11" spans="1:20">
      <c r="A11" s="3"/>
      <c r="B11" s="4"/>
      <c r="C11" s="4"/>
      <c r="D11" s="4"/>
      <c r="E11" s="4"/>
      <c r="F11" s="4"/>
      <c r="G11" s="4"/>
      <c r="H11" s="4"/>
      <c r="I11" s="4"/>
      <c r="J11" s="4"/>
      <c r="K11" s="4"/>
      <c r="L11" s="4"/>
      <c r="M11" s="4"/>
      <c r="N11" s="4"/>
      <c r="O11" s="4"/>
      <c r="P11" s="8"/>
      <c r="Q11" s="10"/>
      <c r="R11" s="10"/>
      <c r="S11" s="10"/>
      <c r="T11" s="10"/>
    </row>
    <row r="12" spans="1:20">
      <c r="A12" s="3"/>
      <c r="B12" s="4"/>
      <c r="C12" s="4"/>
      <c r="D12" s="4"/>
      <c r="E12" s="4"/>
      <c r="F12" s="4"/>
      <c r="G12" s="4"/>
      <c r="H12" s="4"/>
      <c r="I12" s="4"/>
      <c r="J12" s="4"/>
      <c r="K12" s="4"/>
      <c r="L12" s="4"/>
      <c r="M12" s="4"/>
      <c r="N12" s="4"/>
      <c r="O12" s="4"/>
      <c r="P12" s="8"/>
      <c r="Q12" s="10"/>
      <c r="R12" s="10"/>
      <c r="S12" s="10"/>
      <c r="T12" s="10"/>
    </row>
    <row r="13" spans="1:20">
      <c r="A13" s="3"/>
      <c r="B13" s="4"/>
      <c r="C13" s="4"/>
      <c r="D13" s="4"/>
      <c r="E13" s="4"/>
      <c r="F13" s="4"/>
      <c r="G13" s="4"/>
      <c r="H13" s="4"/>
      <c r="I13" s="4"/>
      <c r="J13" s="4"/>
      <c r="K13" s="4"/>
      <c r="L13" s="4"/>
      <c r="M13" s="4"/>
      <c r="N13" s="4"/>
      <c r="O13" s="4"/>
      <c r="P13" s="8"/>
      <c r="Q13" s="10"/>
      <c r="R13" s="10"/>
      <c r="S13" s="10"/>
      <c r="T13" s="10"/>
    </row>
    <row r="14" spans="1:20">
      <c r="A14" s="3"/>
      <c r="B14" s="4"/>
      <c r="C14" s="4"/>
      <c r="D14" s="4"/>
      <c r="E14" s="4"/>
      <c r="F14" s="4"/>
      <c r="G14" s="4"/>
      <c r="H14" s="4"/>
      <c r="I14" s="4"/>
      <c r="J14" s="4"/>
      <c r="K14" s="4"/>
      <c r="L14" s="4"/>
      <c r="M14" s="4"/>
      <c r="N14" s="4"/>
      <c r="O14" s="4"/>
      <c r="P14" s="8"/>
      <c r="Q14" s="10"/>
      <c r="R14" s="10"/>
      <c r="S14" s="10"/>
      <c r="T14" s="10"/>
    </row>
    <row r="15" spans="1:20">
      <c r="A15" s="3"/>
      <c r="B15" s="4"/>
      <c r="C15" s="4"/>
      <c r="D15" s="4"/>
      <c r="E15" s="4"/>
      <c r="F15" s="4"/>
      <c r="G15" s="4"/>
      <c r="H15" s="4"/>
      <c r="I15" s="4"/>
      <c r="J15" s="4"/>
      <c r="K15" s="4"/>
      <c r="L15" s="4"/>
      <c r="M15" s="4"/>
      <c r="N15" s="4"/>
      <c r="O15" s="4"/>
      <c r="P15" s="8"/>
      <c r="Q15" s="10"/>
      <c r="R15" s="10"/>
      <c r="S15" s="10"/>
      <c r="T15" s="10"/>
    </row>
    <row r="16" spans="1:20">
      <c r="A16" s="3"/>
      <c r="B16" s="4"/>
      <c r="C16" s="4"/>
      <c r="D16" s="4"/>
      <c r="E16" s="4"/>
      <c r="F16" s="4"/>
      <c r="G16" s="4"/>
      <c r="H16" s="4"/>
      <c r="I16" s="4"/>
      <c r="J16" s="4"/>
      <c r="K16" s="4"/>
      <c r="L16" s="4"/>
      <c r="M16" s="4"/>
      <c r="N16" s="4"/>
      <c r="O16" s="4"/>
      <c r="P16" s="8"/>
      <c r="Q16" s="10"/>
      <c r="R16" s="10"/>
      <c r="S16" s="10"/>
      <c r="T16" s="10"/>
    </row>
    <row r="17" spans="1:20">
      <c r="A17" s="3"/>
      <c r="B17" s="4"/>
      <c r="C17" s="4"/>
      <c r="D17" s="4"/>
      <c r="E17" s="4"/>
      <c r="F17" s="4"/>
      <c r="G17" s="4"/>
      <c r="H17" s="4"/>
      <c r="I17" s="4"/>
      <c r="J17" s="4"/>
      <c r="K17" s="4"/>
      <c r="L17" s="4"/>
      <c r="M17" s="4"/>
      <c r="N17" s="4"/>
      <c r="O17" s="4"/>
      <c r="P17" s="8"/>
      <c r="Q17" s="10"/>
      <c r="R17" s="10"/>
      <c r="S17" s="10"/>
      <c r="T17" s="10"/>
    </row>
    <row r="18" spans="1:20">
      <c r="A18" s="3"/>
      <c r="B18" s="4"/>
      <c r="C18" s="4"/>
      <c r="D18" s="4"/>
      <c r="E18" s="4"/>
      <c r="F18" s="4"/>
      <c r="G18" s="4"/>
      <c r="H18" s="4"/>
      <c r="I18" s="4"/>
      <c r="J18" s="4"/>
      <c r="K18" s="4"/>
      <c r="L18" s="4"/>
      <c r="M18" s="4"/>
      <c r="N18" s="4"/>
      <c r="O18" s="4"/>
      <c r="P18" s="8"/>
      <c r="Q18" s="10"/>
      <c r="R18" s="10"/>
      <c r="S18" s="10"/>
      <c r="T18" s="10"/>
    </row>
    <row r="19" spans="1:20">
      <c r="A19" s="3"/>
      <c r="B19" s="4"/>
      <c r="C19" s="4"/>
      <c r="D19" s="4"/>
      <c r="E19" s="4"/>
      <c r="F19" s="4"/>
      <c r="G19" s="4"/>
      <c r="H19" s="4"/>
      <c r="I19" s="4"/>
      <c r="J19" s="4"/>
      <c r="K19" s="4"/>
      <c r="L19" s="4"/>
      <c r="M19" s="4"/>
      <c r="N19" s="4"/>
      <c r="O19" s="4"/>
      <c r="P19" s="8"/>
      <c r="Q19" s="10"/>
      <c r="R19" s="10"/>
      <c r="S19" s="10"/>
      <c r="T19" s="10"/>
    </row>
    <row r="20" spans="1:20">
      <c r="A20" s="3"/>
      <c r="B20" s="4"/>
      <c r="C20" s="4"/>
      <c r="D20" s="4"/>
      <c r="E20" s="4"/>
      <c r="F20" s="4"/>
      <c r="G20" s="4"/>
      <c r="H20" s="4"/>
      <c r="I20" s="4"/>
      <c r="J20" s="4"/>
      <c r="K20" s="4"/>
      <c r="L20" s="4"/>
      <c r="M20" s="4"/>
      <c r="N20" s="4"/>
      <c r="O20" s="4"/>
      <c r="P20" s="8"/>
      <c r="Q20" s="10"/>
      <c r="R20" s="10"/>
      <c r="S20" s="10"/>
      <c r="T20" s="10"/>
    </row>
    <row r="21" spans="1:20">
      <c r="A21" s="3"/>
      <c r="B21" s="4"/>
      <c r="C21" s="4"/>
      <c r="D21" s="4"/>
      <c r="E21" s="4"/>
      <c r="F21" s="4"/>
      <c r="G21" s="4"/>
      <c r="H21" s="4"/>
      <c r="I21" s="4"/>
      <c r="J21" s="4"/>
      <c r="K21" s="4"/>
      <c r="L21" s="4"/>
      <c r="M21" s="4"/>
      <c r="N21" s="4"/>
      <c r="O21" s="4"/>
      <c r="P21" s="8"/>
      <c r="Q21" s="10"/>
      <c r="R21" s="10"/>
      <c r="S21" s="10"/>
      <c r="T21" s="10"/>
    </row>
    <row r="22" spans="1:20">
      <c r="A22" s="3"/>
      <c r="B22" s="4"/>
      <c r="C22" s="4"/>
      <c r="D22" s="4"/>
      <c r="E22" s="4"/>
      <c r="F22" s="4"/>
      <c r="G22" s="4"/>
      <c r="H22" s="4"/>
      <c r="I22" s="4"/>
      <c r="J22" s="4"/>
      <c r="K22" s="4"/>
      <c r="L22" s="4"/>
      <c r="M22" s="4"/>
      <c r="N22" s="4"/>
      <c r="O22" s="4"/>
      <c r="P22" s="8"/>
      <c r="Q22" s="10"/>
      <c r="R22" s="10"/>
      <c r="S22" s="10"/>
      <c r="T22" s="10"/>
    </row>
    <row r="23" spans="1:20">
      <c r="A23" s="3"/>
      <c r="B23" s="4"/>
      <c r="C23" s="4"/>
      <c r="D23" s="4"/>
      <c r="E23" s="4"/>
      <c r="F23" s="4"/>
      <c r="G23" s="4"/>
      <c r="H23" s="4"/>
      <c r="I23" s="4"/>
      <c r="J23" s="4"/>
      <c r="K23" s="4"/>
      <c r="L23" s="4"/>
      <c r="M23" s="4"/>
      <c r="N23" s="4"/>
      <c r="O23" s="4"/>
      <c r="P23" s="8"/>
      <c r="Q23" s="10"/>
      <c r="R23" s="10"/>
      <c r="S23" s="10"/>
      <c r="T23" s="10"/>
    </row>
    <row r="24" spans="1:20">
      <c r="A24" s="3"/>
      <c r="B24" s="4"/>
      <c r="C24" s="4"/>
      <c r="D24" s="4"/>
      <c r="E24" s="4"/>
      <c r="F24" s="4"/>
      <c r="G24" s="4"/>
      <c r="H24" s="4"/>
      <c r="I24" s="4"/>
      <c r="J24" s="4"/>
      <c r="K24" s="4"/>
      <c r="L24" s="4"/>
      <c r="M24" s="4"/>
      <c r="N24" s="4"/>
      <c r="O24" s="4"/>
      <c r="P24" s="8"/>
      <c r="Q24" s="10"/>
      <c r="R24" s="10"/>
      <c r="S24" s="10"/>
      <c r="T24" s="10"/>
    </row>
    <row r="25" spans="1:20">
      <c r="A25" s="3"/>
      <c r="B25" s="4"/>
      <c r="C25" s="4"/>
      <c r="D25" s="4"/>
      <c r="E25" s="4"/>
      <c r="F25" s="4"/>
      <c r="G25" s="4"/>
      <c r="H25" s="4"/>
      <c r="I25" s="4"/>
      <c r="J25" s="4"/>
      <c r="K25" s="4"/>
      <c r="L25" s="4"/>
      <c r="M25" s="4"/>
      <c r="N25" s="4"/>
      <c r="O25" s="4"/>
      <c r="P25" s="8"/>
      <c r="Q25" s="10"/>
      <c r="R25" s="10"/>
      <c r="S25" s="10"/>
      <c r="T25" s="10"/>
    </row>
    <row r="26" spans="1:20">
      <c r="A26" s="3"/>
      <c r="B26" s="4"/>
      <c r="C26" s="4"/>
      <c r="D26" s="4"/>
      <c r="E26" s="4"/>
      <c r="F26" s="4"/>
      <c r="G26" s="4"/>
      <c r="H26" s="4"/>
      <c r="I26" s="4"/>
      <c r="J26" s="4"/>
      <c r="K26" s="4"/>
      <c r="L26" s="4"/>
      <c r="M26" s="4"/>
      <c r="N26" s="4"/>
      <c r="O26" s="4"/>
      <c r="P26" s="8"/>
      <c r="Q26" s="10"/>
      <c r="R26" s="10"/>
      <c r="S26" s="10"/>
      <c r="T26" s="10"/>
    </row>
    <row r="27" spans="1:20">
      <c r="A27" s="3"/>
      <c r="B27" s="4"/>
      <c r="C27" s="4"/>
      <c r="D27" s="4"/>
      <c r="E27" s="4"/>
      <c r="F27" s="4"/>
      <c r="G27" s="4"/>
      <c r="H27" s="4"/>
      <c r="I27" s="4"/>
      <c r="J27" s="4"/>
      <c r="K27" s="4"/>
      <c r="L27" s="4"/>
      <c r="M27" s="4"/>
      <c r="N27" s="4"/>
      <c r="O27" s="4"/>
      <c r="P27" s="8"/>
      <c r="Q27" s="10"/>
      <c r="R27" s="10"/>
      <c r="S27" s="10"/>
      <c r="T27" s="10"/>
    </row>
    <row r="28" spans="1:20">
      <c r="A28" s="3"/>
      <c r="B28" s="4"/>
      <c r="C28" s="4"/>
      <c r="D28" s="4"/>
      <c r="E28" s="4"/>
      <c r="F28" s="4"/>
      <c r="G28" s="4"/>
      <c r="H28" s="4"/>
      <c r="I28" s="4"/>
      <c r="J28" s="4"/>
      <c r="K28" s="4"/>
      <c r="L28" s="4"/>
      <c r="M28" s="4"/>
      <c r="N28" s="4"/>
      <c r="O28" s="4"/>
      <c r="P28" s="8"/>
      <c r="Q28" s="10"/>
      <c r="R28" s="10"/>
      <c r="S28" s="10"/>
      <c r="T28" s="10"/>
    </row>
    <row r="29" spans="1:20">
      <c r="A29" s="3"/>
      <c r="B29" s="4"/>
      <c r="C29" s="4"/>
      <c r="D29" s="4"/>
      <c r="E29" s="4"/>
      <c r="F29" s="4"/>
      <c r="G29" s="4"/>
      <c r="H29" s="4"/>
      <c r="I29" s="4"/>
      <c r="J29" s="4"/>
      <c r="K29" s="4"/>
      <c r="L29" s="4"/>
      <c r="M29" s="4"/>
      <c r="N29" s="4"/>
      <c r="O29" s="4"/>
      <c r="P29" s="8"/>
      <c r="Q29" s="10"/>
      <c r="R29" s="10"/>
      <c r="S29" s="10"/>
      <c r="T29" s="10"/>
    </row>
    <row r="30" spans="1:20">
      <c r="A30" s="3"/>
      <c r="B30" s="4"/>
      <c r="C30" s="4"/>
      <c r="D30" s="4"/>
      <c r="E30" s="4"/>
      <c r="F30" s="4"/>
      <c r="G30" s="4"/>
      <c r="H30" s="4"/>
      <c r="I30" s="4"/>
      <c r="J30" s="4"/>
      <c r="K30" s="4"/>
      <c r="L30" s="4"/>
      <c r="M30" s="4"/>
      <c r="N30" s="4"/>
      <c r="O30" s="4"/>
      <c r="P30" s="8"/>
      <c r="Q30" s="10"/>
      <c r="R30" s="10"/>
      <c r="S30" s="10"/>
      <c r="T30" s="10"/>
    </row>
    <row r="31" spans="1:20">
      <c r="A31" s="3"/>
      <c r="B31" s="4"/>
      <c r="C31" s="4"/>
      <c r="D31" s="4"/>
      <c r="E31" s="4"/>
      <c r="F31" s="4"/>
      <c r="G31" s="4"/>
      <c r="H31" s="4"/>
      <c r="I31" s="4"/>
      <c r="J31" s="4"/>
      <c r="K31" s="4"/>
      <c r="L31" s="4"/>
      <c r="M31" s="4"/>
      <c r="N31" s="4"/>
      <c r="O31" s="4"/>
      <c r="P31" s="8"/>
      <c r="Q31" s="10"/>
      <c r="R31" s="10"/>
      <c r="S31" s="10"/>
      <c r="T31" s="10"/>
    </row>
    <row r="32" spans="1:20">
      <c r="A32" s="3"/>
      <c r="B32" s="4"/>
      <c r="C32" s="4"/>
      <c r="D32" s="4"/>
      <c r="E32" s="4"/>
      <c r="F32" s="4"/>
      <c r="G32" s="4"/>
      <c r="H32" s="4"/>
      <c r="I32" s="4"/>
      <c r="J32" s="4"/>
      <c r="K32" s="4"/>
      <c r="L32" s="4"/>
      <c r="M32" s="4"/>
      <c r="N32" s="4"/>
      <c r="O32" s="4"/>
      <c r="P32" s="8"/>
      <c r="Q32" s="10"/>
      <c r="R32" s="10"/>
      <c r="S32" s="10"/>
      <c r="T32" s="10"/>
    </row>
    <row r="33" spans="1:20">
      <c r="A33" s="3"/>
      <c r="B33" s="4"/>
      <c r="C33" s="4"/>
      <c r="D33" s="4"/>
      <c r="E33" s="4"/>
      <c r="F33" s="4"/>
      <c r="G33" s="4"/>
      <c r="H33" s="4"/>
      <c r="I33" s="4"/>
      <c r="J33" s="4"/>
      <c r="K33" s="4"/>
      <c r="L33" s="4"/>
      <c r="M33" s="4"/>
      <c r="N33" s="4"/>
      <c r="O33" s="4"/>
      <c r="P33" s="8"/>
      <c r="Q33" s="10"/>
      <c r="R33" s="10"/>
      <c r="S33" s="10"/>
      <c r="T33" s="10"/>
    </row>
    <row r="34" spans="1:20">
      <c r="A34" s="3"/>
      <c r="B34" s="4"/>
      <c r="C34" s="4"/>
      <c r="D34" s="4"/>
      <c r="E34" s="4"/>
      <c r="F34" s="4"/>
      <c r="G34" s="4"/>
      <c r="H34" s="4"/>
      <c r="I34" s="4"/>
      <c r="J34" s="4"/>
      <c r="K34" s="4"/>
      <c r="L34" s="4"/>
      <c r="M34" s="4"/>
      <c r="N34" s="4"/>
      <c r="O34" s="4"/>
      <c r="P34" s="8"/>
      <c r="Q34" s="10"/>
      <c r="R34" s="10"/>
      <c r="S34" s="10"/>
      <c r="T34" s="10"/>
    </row>
    <row r="35" spans="1:20">
      <c r="A35" s="3"/>
      <c r="B35" s="4"/>
      <c r="C35" s="4"/>
      <c r="D35" s="4"/>
      <c r="E35" s="4"/>
      <c r="F35" s="4"/>
      <c r="G35" s="4"/>
      <c r="H35" s="4"/>
      <c r="I35" s="4"/>
      <c r="J35" s="4"/>
      <c r="K35" s="4"/>
      <c r="L35" s="4"/>
      <c r="M35" s="4"/>
      <c r="N35" s="4"/>
      <c r="O35" s="4"/>
      <c r="P35" s="8"/>
      <c r="Q35" s="10"/>
      <c r="R35" s="10"/>
      <c r="S35" s="10"/>
      <c r="T35" s="10"/>
    </row>
    <row r="36" spans="1:20">
      <c r="A36" s="3"/>
      <c r="B36" s="4"/>
      <c r="C36" s="4"/>
      <c r="D36" s="4"/>
      <c r="E36" s="4"/>
      <c r="F36" s="4"/>
      <c r="G36" s="4"/>
      <c r="H36" s="4"/>
      <c r="I36" s="4"/>
      <c r="J36" s="4"/>
      <c r="K36" s="4"/>
      <c r="L36" s="4"/>
      <c r="M36" s="4"/>
      <c r="N36" s="4"/>
      <c r="O36" s="4"/>
      <c r="P36" s="8"/>
      <c r="Q36" s="10"/>
      <c r="R36" s="10"/>
      <c r="S36" s="10"/>
      <c r="T36" s="10"/>
    </row>
    <row r="37" spans="1:20">
      <c r="A37" s="3"/>
      <c r="B37" s="4"/>
      <c r="C37" s="4"/>
      <c r="D37" s="4"/>
      <c r="E37" s="4"/>
      <c r="F37" s="4"/>
      <c r="G37" s="4"/>
      <c r="H37" s="4"/>
      <c r="I37" s="4"/>
      <c r="J37" s="4"/>
      <c r="K37" s="4"/>
      <c r="L37" s="4"/>
      <c r="M37" s="4"/>
      <c r="N37" s="4"/>
      <c r="O37" s="4"/>
      <c r="P37" s="8"/>
      <c r="Q37" s="10"/>
      <c r="R37" s="10"/>
      <c r="S37" s="10"/>
      <c r="T37" s="10"/>
    </row>
    <row r="38" spans="1:16">
      <c r="A38" s="3"/>
      <c r="B38" s="4"/>
      <c r="C38" s="4"/>
      <c r="D38" s="4"/>
      <c r="E38" s="4"/>
      <c r="F38" s="4"/>
      <c r="G38" s="4"/>
      <c r="H38" s="4"/>
      <c r="I38" s="4"/>
      <c r="J38" s="4"/>
      <c r="K38" s="4"/>
      <c r="L38" s="4"/>
      <c r="M38" s="4"/>
      <c r="N38" s="4"/>
      <c r="O38" s="4"/>
      <c r="P38" s="8"/>
    </row>
    <row r="39" spans="1:16">
      <c r="A39" s="3"/>
      <c r="B39" s="4"/>
      <c r="C39" s="4"/>
      <c r="D39" s="4"/>
      <c r="E39" s="4"/>
      <c r="F39" s="4"/>
      <c r="G39" s="4"/>
      <c r="H39" s="4"/>
      <c r="I39" s="4"/>
      <c r="J39" s="4"/>
      <c r="K39" s="4"/>
      <c r="L39" s="4"/>
      <c r="M39" s="4"/>
      <c r="N39" s="4"/>
      <c r="O39" s="4"/>
      <c r="P39" s="8"/>
    </row>
    <row r="40" spans="1:16">
      <c r="A40" s="3"/>
      <c r="B40" s="4"/>
      <c r="C40" s="4"/>
      <c r="D40" s="4"/>
      <c r="E40" s="4"/>
      <c r="F40" s="4"/>
      <c r="G40" s="4"/>
      <c r="H40" s="4"/>
      <c r="I40" s="4"/>
      <c r="J40" s="4"/>
      <c r="K40" s="4"/>
      <c r="L40" s="4"/>
      <c r="M40" s="4"/>
      <c r="N40" s="4"/>
      <c r="O40" s="4"/>
      <c r="P40" s="8"/>
    </row>
    <row r="41" spans="1:16">
      <c r="A41" s="3"/>
      <c r="B41" s="4"/>
      <c r="C41" s="4"/>
      <c r="D41" s="4"/>
      <c r="E41" s="4"/>
      <c r="F41" s="4"/>
      <c r="G41" s="4"/>
      <c r="H41" s="4"/>
      <c r="I41" s="4"/>
      <c r="J41" s="4"/>
      <c r="K41" s="4"/>
      <c r="L41" s="4"/>
      <c r="M41" s="4"/>
      <c r="N41" s="4"/>
      <c r="O41" s="4"/>
      <c r="P41" s="8"/>
    </row>
    <row r="42" spans="1:16">
      <c r="A42" s="3"/>
      <c r="B42" s="4"/>
      <c r="C42" s="4"/>
      <c r="D42" s="4"/>
      <c r="E42" s="4"/>
      <c r="F42" s="4"/>
      <c r="G42" s="4"/>
      <c r="H42" s="4"/>
      <c r="I42" s="4"/>
      <c r="J42" s="4"/>
      <c r="K42" s="4"/>
      <c r="L42" s="4"/>
      <c r="M42" s="4"/>
      <c r="N42" s="4"/>
      <c r="O42" s="4"/>
      <c r="P42" s="8"/>
    </row>
    <row r="43" spans="1:16">
      <c r="A43" s="3"/>
      <c r="B43" s="4"/>
      <c r="C43" s="4"/>
      <c r="D43" s="4"/>
      <c r="E43" s="4"/>
      <c r="F43" s="4"/>
      <c r="G43" s="4"/>
      <c r="H43" s="4"/>
      <c r="I43" s="4"/>
      <c r="J43" s="4"/>
      <c r="K43" s="4"/>
      <c r="L43" s="4"/>
      <c r="M43" s="4"/>
      <c r="N43" s="4"/>
      <c r="O43" s="4"/>
      <c r="P43" s="8"/>
    </row>
    <row r="44" spans="1:16">
      <c r="A44" s="3"/>
      <c r="B44" s="4"/>
      <c r="C44" s="4"/>
      <c r="D44" s="4"/>
      <c r="E44" s="4"/>
      <c r="F44" s="4"/>
      <c r="G44" s="4"/>
      <c r="H44" s="4"/>
      <c r="I44" s="4"/>
      <c r="J44" s="4"/>
      <c r="K44" s="4"/>
      <c r="L44" s="4"/>
      <c r="M44" s="4"/>
      <c r="N44" s="4"/>
      <c r="O44" s="4"/>
      <c r="P44" s="8"/>
    </row>
    <row r="45" spans="1:16">
      <c r="A45" s="3"/>
      <c r="B45" s="4"/>
      <c r="C45" s="4"/>
      <c r="D45" s="4"/>
      <c r="E45" s="4"/>
      <c r="F45" s="4"/>
      <c r="G45" s="4"/>
      <c r="H45" s="4"/>
      <c r="I45" s="4"/>
      <c r="J45" s="4"/>
      <c r="K45" s="4"/>
      <c r="L45" s="4"/>
      <c r="M45" s="4"/>
      <c r="N45" s="4"/>
      <c r="O45" s="4"/>
      <c r="P45" s="8"/>
    </row>
    <row r="46" spans="1:16">
      <c r="A46" s="3"/>
      <c r="B46" s="4"/>
      <c r="C46" s="4"/>
      <c r="D46" s="4"/>
      <c r="E46" s="4"/>
      <c r="F46" s="4"/>
      <c r="G46" s="4"/>
      <c r="H46" s="4"/>
      <c r="I46" s="4"/>
      <c r="J46" s="4"/>
      <c r="K46" s="4"/>
      <c r="L46" s="4"/>
      <c r="M46" s="4"/>
      <c r="N46" s="4"/>
      <c r="O46" s="4"/>
      <c r="P46" s="8"/>
    </row>
    <row r="47" spans="1:16">
      <c r="A47" s="3"/>
      <c r="B47" s="4"/>
      <c r="C47" s="4"/>
      <c r="D47" s="4"/>
      <c r="E47" s="4"/>
      <c r="F47" s="4"/>
      <c r="G47" s="4"/>
      <c r="H47" s="4"/>
      <c r="I47" s="4"/>
      <c r="J47" s="4"/>
      <c r="K47" s="4"/>
      <c r="L47" s="4"/>
      <c r="M47" s="4"/>
      <c r="N47" s="4"/>
      <c r="O47" s="4"/>
      <c r="P47" s="8"/>
    </row>
    <row r="48" spans="1:16">
      <c r="A48" s="3"/>
      <c r="B48" s="4"/>
      <c r="C48" s="4"/>
      <c r="D48" s="4"/>
      <c r="E48" s="4"/>
      <c r="F48" s="4"/>
      <c r="G48" s="4"/>
      <c r="H48" s="4"/>
      <c r="I48" s="4"/>
      <c r="J48" s="4"/>
      <c r="K48" s="4"/>
      <c r="L48" s="4"/>
      <c r="M48" s="4"/>
      <c r="N48" s="4"/>
      <c r="O48" s="4"/>
      <c r="P48" s="8"/>
    </row>
    <row r="49" spans="1:16">
      <c r="A49" s="3"/>
      <c r="B49" s="4"/>
      <c r="C49" s="4"/>
      <c r="D49" s="4"/>
      <c r="E49" s="4"/>
      <c r="F49" s="4"/>
      <c r="G49" s="4"/>
      <c r="H49" s="4"/>
      <c r="I49" s="4"/>
      <c r="J49" s="4"/>
      <c r="K49" s="4"/>
      <c r="L49" s="4"/>
      <c r="M49" s="4"/>
      <c r="N49" s="4"/>
      <c r="O49" s="4"/>
      <c r="P49" s="8"/>
    </row>
    <row r="50" ht="14.75" spans="1:16">
      <c r="A50" s="5"/>
      <c r="B50" s="6"/>
      <c r="C50" s="6"/>
      <c r="D50" s="6"/>
      <c r="E50" s="6"/>
      <c r="F50" s="6"/>
      <c r="G50" s="6"/>
      <c r="H50" s="6"/>
      <c r="I50" s="6"/>
      <c r="J50" s="6"/>
      <c r="K50" s="6"/>
      <c r="L50" s="6"/>
      <c r="M50" s="6"/>
      <c r="N50" s="6"/>
      <c r="O50" s="6"/>
      <c r="P50" s="9"/>
    </row>
  </sheetData>
  <mergeCells count="1">
    <mergeCell ref="A1:P50"/>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C9" sqref="C9"/>
    </sheetView>
  </sheetViews>
  <sheetFormatPr defaultColWidth="9" defaultRowHeight="14"/>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WWO_wpscloud_20250507200051-17b48c65b3</Application>
  <HeadingPairs>
    <vt:vector size="2" baseType="variant">
      <vt:variant>
        <vt:lpstr>工作表</vt:lpstr>
      </vt:variant>
      <vt:variant>
        <vt:i4>17</vt:i4>
      </vt:variant>
    </vt:vector>
  </HeadingPairs>
  <TitlesOfParts>
    <vt:vector size="17" baseType="lpstr">
      <vt:lpstr>草稿</vt:lpstr>
      <vt:lpstr>原力</vt:lpstr>
      <vt:lpstr>光明</vt:lpstr>
      <vt:lpstr>暗影</vt:lpstr>
      <vt:lpstr>火焰</vt:lpstr>
      <vt:lpstr>雷电</vt:lpstr>
      <vt:lpstr>气流</vt:lpstr>
      <vt:lpstr>流水</vt:lpstr>
      <vt:lpstr>冰霜</vt:lpstr>
      <vt:lpstr>土石</vt:lpstr>
      <vt:lpstr>医疗</vt:lpstr>
      <vt:lpstr>生命</vt:lpstr>
      <vt:lpstr>传心感知</vt:lpstr>
      <vt:lpstr>空表格</vt:lpstr>
      <vt:lpstr>法术职业</vt:lpstr>
      <vt:lpstr>v1.2更新记录</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27205</dc:creator>
  <cp:lastModifiedBy>栗雪 羽</cp:lastModifiedBy>
  <dcterms:created xsi:type="dcterms:W3CDTF">2025-04-14T22:33:00Z</dcterms:created>
  <dcterms:modified xsi:type="dcterms:W3CDTF">2025-11-08T02:34:49Z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2616A2621C474DB48EB5655C8985B508_13</vt:lpwstr>
  </property>
  <property fmtid="{D5CDD505-2E9C-101B-9397-08002B2CF9AE}" pid="3" name="KSOProductBuildVer">
    <vt:lpwstr>2052-12.1.0.22529</vt:lpwstr>
  </property>
</Properties>
</file>