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630" tabRatio="887" firstSheet="3" activeTab="8"/>
  </bookViews>
  <sheets>
    <sheet name="尖兵" sheetId="43" r:id="rId1"/>
    <sheet name="冲锋手" sheetId="24" r:id="rId2"/>
    <sheet name="战术家" sheetId="46" r:id="rId3"/>
    <sheet name="铁卫" sheetId="13" r:id="rId4"/>
    <sheet name="守护者" sheetId="44" r:id="rId5"/>
    <sheet name="无畏者" sheetId="2" r:id="rId6"/>
    <sheet name="草稿" sheetId="1" state="hidden" r:id="rId7"/>
    <sheet name="驭法铁卫" sheetId="31" state="hidden" r:id="rId8"/>
    <sheet name="剑豪" sheetId="50" r:id="rId9"/>
    <sheet name="强攻手" sheetId="51" r:id="rId10"/>
    <sheet name="武者" sheetId="52" r:id="rId11"/>
    <sheet name="术战者" sheetId="54" r:id="rId12"/>
    <sheet name="炮手" sheetId="35" r:id="rId13"/>
    <sheet name="神射手" sheetId="10" r:id="rId14"/>
    <sheet name="速射手" sheetId="14" r:id="rId15"/>
    <sheet name="吟游者" sheetId="45" r:id="rId16"/>
    <sheet name="处决者" sheetId="48" r:id="rId17"/>
    <sheet name="怪杰" sheetId="47" r:id="rId18"/>
    <sheet name="WpsReserved_CellImgList" sheetId="53" state="veryHidden"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16" name="ID_B8866FF8443B4D5096579B7AE4F8D3EB" descr="图标_职业_近卫_大图"/>
        <xdr:cNvPicPr>
          <a:picLocks noChangeAspect="1"/>
        </xdr:cNvPicPr>
      </xdr:nvPicPr>
      <xdr:blipFill>
        <a:blip r:embed="rId1"/>
        <a:stretch>
          <a:fillRect/>
        </a:stretch>
      </xdr:blipFill>
      <xdr:spPr>
        <a:xfrm>
          <a:off x="617220" y="5101590"/>
          <a:ext cx="541020" cy="525780"/>
        </a:xfrm>
        <a:prstGeom prst="rect">
          <a:avLst/>
        </a:prstGeom>
      </xdr:spPr>
    </xdr:pic>
  </etc:cellImage>
  <etc:cellImage>
    <xdr:pic>
      <xdr:nvPicPr>
        <xdr:cNvPr id="3" name="ID_29B33786BB7E433C91D14FE25C8230AE"/>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99085" y="1405255"/>
          <a:ext cx="1323340" cy="1298575"/>
        </a:xfrm>
        <a:prstGeom prst="rect">
          <a:avLst/>
        </a:prstGeom>
      </xdr:spPr>
    </xdr:pic>
  </etc:cellImage>
  <etc:cellImage>
    <xdr:pic>
      <xdr:nvPicPr>
        <xdr:cNvPr id="26" name="ID_0752C98FF66649929CDC383BB4C9FA1D" descr="7"/>
        <xdr:cNvPicPr/>
      </xdr:nvPicPr>
      <xdr:blipFill>
        <a:blip r:embed="rId3"/>
        <a:stretch>
          <a:fillRect/>
        </a:stretch>
      </xdr:blipFill>
      <xdr:spPr>
        <a:xfrm>
          <a:off x="0" y="0"/>
          <a:ext cx="1238250" cy="1238250"/>
        </a:xfrm>
        <a:prstGeom prst="rect">
          <a:avLst/>
        </a:prstGeom>
      </xdr:spPr>
    </xdr:pic>
  </etc:cellImage>
  <etc:cellImage>
    <xdr:pic>
      <xdr:nvPicPr>
        <xdr:cNvPr id="28" name="ID_8D1D66EF3C8E4C4DA2C499BD98760604" descr="5"/>
        <xdr:cNvPicPr/>
      </xdr:nvPicPr>
      <xdr:blipFill>
        <a:blip r:embed="rId4"/>
        <a:stretch>
          <a:fillRect/>
        </a:stretch>
      </xdr:blipFill>
      <xdr:spPr>
        <a:xfrm>
          <a:off x="0" y="0"/>
          <a:ext cx="742950" cy="742950"/>
        </a:xfrm>
        <a:prstGeom prst="rect">
          <a:avLst/>
        </a:prstGeom>
      </xdr:spPr>
    </xdr:pic>
  </etc:cellImage>
  <etc:cellImage>
    <xdr:pic>
      <xdr:nvPicPr>
        <xdr:cNvPr id="31" name="ID_52415B6A2B1D4D28A07C36CA61249B08" descr="图标_职业_狙击_大图"/>
        <xdr:cNvPicPr>
          <a:picLocks noChangeAspect="1"/>
        </xdr:cNvPicPr>
      </xdr:nvPicPr>
      <xdr:blipFill>
        <a:blip r:embed="rId5"/>
        <a:stretch>
          <a:fillRect/>
        </a:stretch>
      </xdr:blipFill>
      <xdr:spPr>
        <a:xfrm>
          <a:off x="617220" y="5648325"/>
          <a:ext cx="541020" cy="523875"/>
        </a:xfrm>
        <a:prstGeom prst="rect">
          <a:avLst/>
        </a:prstGeom>
      </xdr:spPr>
    </xdr:pic>
  </etc:cellImage>
  <etc:cellImage>
    <xdr:pic>
      <xdr:nvPicPr>
        <xdr:cNvPr id="32" name="ID_20CC98ADBEC044A7B2FF7D1435B755A0"/>
        <xdr:cNvPicPr>
          <a:picLocks noChangeAspect="1"/>
        </xdr:cNvPicPr>
      </xdr:nvPicPr>
      <xdr:blipFill>
        <a:blip r:embed="rId6" r:link="rId7"/>
        <a:stretch>
          <a:fillRect/>
        </a:stretch>
      </xdr:blipFill>
      <xdr:spPr>
        <a:xfrm>
          <a:off x="1034415" y="5967095"/>
          <a:ext cx="1503680" cy="1505585"/>
        </a:xfrm>
        <a:prstGeom prst="rect">
          <a:avLst/>
        </a:prstGeom>
        <a:noFill/>
        <a:ln w="9525">
          <a:noFill/>
        </a:ln>
      </xdr:spPr>
    </xdr:pic>
  </etc:cellImage>
  <etc:cellImage>
    <xdr:pic>
      <xdr:nvPicPr>
        <xdr:cNvPr id="33" name="ID_3CC9339639E34C35B185CE317598FFE5" descr="图标_职业_重装_大图"/>
        <xdr:cNvPicPr>
          <a:picLocks noChangeAspect="1"/>
        </xdr:cNvPicPr>
      </xdr:nvPicPr>
      <xdr:blipFill>
        <a:blip r:embed="rId8"/>
        <a:stretch>
          <a:fillRect/>
        </a:stretch>
      </xdr:blipFill>
      <xdr:spPr>
        <a:xfrm>
          <a:off x="617220" y="8383905"/>
          <a:ext cx="541020" cy="539115"/>
        </a:xfrm>
        <a:prstGeom prst="rect">
          <a:avLst/>
        </a:prstGeom>
      </xdr:spPr>
    </xdr:pic>
  </etc:cellImage>
  <etc:cellImage>
    <xdr:pic>
      <xdr:nvPicPr>
        <xdr:cNvPr id="34" name="ID_2792D848DF4345389745B1B20C4C0918"/>
        <xdr:cNvPicPr>
          <a:picLocks noChangeAspect="1"/>
        </xdr:cNvPicPr>
      </xdr:nvPicPr>
      <xdr:blipFill>
        <a:blip r:embed="rId9" r:link="rId7"/>
        <a:stretch>
          <a:fillRect/>
        </a:stretch>
      </xdr:blipFill>
      <xdr:spPr>
        <a:xfrm>
          <a:off x="14460855" y="5796915"/>
          <a:ext cx="711200" cy="532765"/>
        </a:xfrm>
        <a:prstGeom prst="rect">
          <a:avLst/>
        </a:prstGeom>
      </xdr:spPr>
    </xdr:pic>
  </etc:cellImage>
  <etc:cellImage>
    <xdr:pic>
      <xdr:nvPicPr>
        <xdr:cNvPr id="37" name="ID_248C55FF982E44BD9500F8B29AA9F2FE"/>
        <xdr:cNvPicPr>
          <a:picLocks noChangeAspect="1"/>
        </xdr:cNvPicPr>
      </xdr:nvPicPr>
      <xdr:blipFill>
        <a:blip r:embed="rId10" r:link="rId7"/>
        <a:stretch>
          <a:fillRect/>
        </a:stretch>
      </xdr:blipFill>
      <xdr:spPr>
        <a:xfrm>
          <a:off x="17449165" y="1264285"/>
          <a:ext cx="792480" cy="198120"/>
        </a:xfrm>
        <a:prstGeom prst="rect">
          <a:avLst/>
        </a:prstGeom>
        <a:noFill/>
        <a:ln>
          <a:noFill/>
        </a:ln>
      </xdr:spPr>
    </xdr:pic>
  </etc:cellImage>
  <etc:cellImage>
    <xdr:pic>
      <xdr:nvPicPr>
        <xdr:cNvPr id="36" name="ID_D5AC2F74C7FF420590D83D4FBDDB3AA6" descr="正前方一格"/>
        <xdr:cNvPicPr>
          <a:picLocks noChangeAspect="1"/>
        </xdr:cNvPicPr>
      </xdr:nvPicPr>
      <xdr:blipFill>
        <a:blip r:embed="rId11"/>
        <a:stretch>
          <a:fillRect/>
        </a:stretch>
      </xdr:blipFill>
      <xdr:spPr>
        <a:xfrm>
          <a:off x="14453235" y="3548380"/>
          <a:ext cx="499745" cy="242570"/>
        </a:xfrm>
        <a:prstGeom prst="rect">
          <a:avLst/>
        </a:prstGeom>
      </xdr:spPr>
    </xdr:pic>
  </etc:cellImage>
  <etc:cellImage>
    <xdr:pic>
      <xdr:nvPicPr>
        <xdr:cNvPr id="39" name="ID_AD760882527B4A8DB6A83F4BB3BC4450" descr="天马视域"/>
        <xdr:cNvPicPr>
          <a:picLocks noChangeAspect="1"/>
        </xdr:cNvPicPr>
      </xdr:nvPicPr>
      <xdr:blipFill>
        <a:blip r:embed="rId12"/>
        <a:stretch>
          <a:fillRect/>
        </a:stretch>
      </xdr:blipFill>
      <xdr:spPr>
        <a:xfrm>
          <a:off x="11374755" y="5858510"/>
          <a:ext cx="659130" cy="389255"/>
        </a:xfrm>
        <a:prstGeom prst="rect">
          <a:avLst/>
        </a:prstGeom>
      </xdr:spPr>
    </xdr:pic>
  </etc:cellImage>
  <etc:cellImage>
    <xdr:pic>
      <xdr:nvPicPr>
        <xdr:cNvPr id="2" name="ID_08D41D522AE04E359069F4FC2ACE8371"/>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416560" y="1459865"/>
          <a:ext cx="1178560" cy="1169035"/>
        </a:xfrm>
        <a:prstGeom prst="rect">
          <a:avLst/>
        </a:prstGeom>
      </xdr:spPr>
    </xdr:pic>
  </etc:cellImage>
  <etc:cellImage>
    <xdr:pic>
      <xdr:nvPicPr>
        <xdr:cNvPr id="5" name="ID_04704C78AFD14ED2A754EE9B2881E121" descr="职业分支图标_冲锋手"/>
        <xdr:cNvPicPr>
          <a:picLocks noChangeAspect="1"/>
        </xdr:cNvPicPr>
      </xdr:nvPicPr>
      <xdr:blipFill>
        <a:blip r:embed="rId14"/>
        <a:stretch>
          <a:fillRect/>
        </a:stretch>
      </xdr:blipFill>
      <xdr:spPr>
        <a:xfrm>
          <a:off x="441960" y="1646555"/>
          <a:ext cx="1295400" cy="1295400"/>
        </a:xfrm>
        <a:prstGeom prst="rect">
          <a:avLst/>
        </a:prstGeom>
      </xdr:spPr>
    </xdr:pic>
  </etc:cellImage>
  <etc:cellImage>
    <xdr:pic>
      <xdr:nvPicPr>
        <xdr:cNvPr id="7" name="ID_E589E60172CD444DA37C4947670D4A1E"/>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488950" y="1683385"/>
          <a:ext cx="1176020" cy="1219200"/>
        </a:xfrm>
        <a:prstGeom prst="rect">
          <a:avLst/>
        </a:prstGeom>
      </xdr:spPr>
    </xdr:pic>
  </etc:cellImage>
  <etc:cellImage>
    <xdr:pic>
      <xdr:nvPicPr>
        <xdr:cNvPr id="8" name="ID_EF8622D837DE486BADE9CB4E96872CFE"/>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583565" y="1690370"/>
          <a:ext cx="1146175" cy="1181100"/>
        </a:xfrm>
        <a:prstGeom prst="rect">
          <a:avLst/>
        </a:prstGeom>
      </xdr:spPr>
    </xdr:pic>
  </etc:cellImage>
  <etc:cellImage>
    <xdr:pic>
      <xdr:nvPicPr>
        <xdr:cNvPr id="10" name="ID_D0F335BECB3444AC957DDA6AEF52A8C0"/>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546735" y="1689735"/>
          <a:ext cx="906145" cy="1162050"/>
        </a:xfrm>
        <a:prstGeom prst="rect">
          <a:avLst/>
        </a:prstGeom>
      </xdr:spPr>
    </xdr:pic>
  </etc:cellImage>
  <etc:cellImage>
    <xdr:pic>
      <xdr:nvPicPr>
        <xdr:cNvPr id="11" name="ID_EB6D268D336E4363856A5186ED0E6D6D"/>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492760" y="1736725"/>
          <a:ext cx="1179830" cy="1009650"/>
        </a:xfrm>
        <a:prstGeom prst="rect">
          <a:avLst/>
        </a:prstGeom>
      </xdr:spPr>
    </xdr:pic>
  </etc:cellImage>
  <etc:cellImage>
    <xdr:pic>
      <xdr:nvPicPr>
        <xdr:cNvPr id="12" name="ID_309279356856475B8C5FCA829701C705" descr="无畏者"/>
        <xdr:cNvPicPr>
          <a:picLocks noChangeAspect="1"/>
        </xdr:cNvPicPr>
      </xdr:nvPicPr>
      <xdr:blipFill>
        <a:blip r:embed="rId11"/>
        <a:stretch>
          <a:fillRect/>
        </a:stretch>
      </xdr:blipFill>
      <xdr:spPr>
        <a:xfrm>
          <a:off x="1547495" y="7061200"/>
          <a:ext cx="1485265" cy="742950"/>
        </a:xfrm>
        <a:prstGeom prst="rect">
          <a:avLst/>
        </a:prstGeom>
      </xdr:spPr>
    </xdr:pic>
  </etc:cellImage>
  <etc:cellImage>
    <xdr:pic>
      <xdr:nvPicPr>
        <xdr:cNvPr id="15" name="ID_FCBD9BED3D2C48F6BF6C0079E2C7E7BF"/>
        <xdr:cNvPicPr>
          <a:picLocks noChangeAspect="1"/>
        </xdr:cNvPicPr>
      </xdr:nvPicPr>
      <xdr:blipFill>
        <a:blip r:embed="rId19"/>
        <a:stretch>
          <a:fillRect/>
        </a:stretch>
      </xdr:blipFill>
      <xdr:spPr>
        <a:xfrm>
          <a:off x="1255395" y="6303645"/>
          <a:ext cx="1489075" cy="2228850"/>
        </a:xfrm>
        <a:prstGeom prst="rect">
          <a:avLst/>
        </a:prstGeom>
      </xdr:spPr>
    </xdr:pic>
  </etc:cellImage>
  <etc:cellImage>
    <xdr:pic>
      <xdr:nvPicPr>
        <xdr:cNvPr id="20" name="ID_4CD972BBDD074BA3AE258CCA39F72B43" descr="速射手"/>
        <xdr:cNvPicPr>
          <a:picLocks noChangeAspect="1"/>
        </xdr:cNvPicPr>
      </xdr:nvPicPr>
      <xdr:blipFill>
        <a:blip r:embed="rId9" r:link="rId7"/>
        <a:stretch>
          <a:fillRect/>
        </a:stretch>
      </xdr:blipFill>
      <xdr:spPr>
        <a:xfrm>
          <a:off x="1485265" y="6841490"/>
          <a:ext cx="1977390" cy="1485900"/>
        </a:xfrm>
        <a:prstGeom prst="rect">
          <a:avLst/>
        </a:prstGeom>
      </xdr:spPr>
    </xdr:pic>
  </etc:cellImage>
  <etc:cellImage>
    <xdr:pic>
      <xdr:nvPicPr>
        <xdr:cNvPr id="22" name="ID_7588C7A3A9CA4753A0743D9829A54C97"/>
        <xdr:cNvPicPr>
          <a:picLocks noChangeAspect="1"/>
        </xdr:cNvPicPr>
      </xdr:nvPicPr>
      <xdr:blipFill>
        <a:blip r:embed="rId11"/>
        <a:stretch>
          <a:fillRect/>
        </a:stretch>
      </xdr:blipFill>
      <xdr:spPr>
        <a:xfrm>
          <a:off x="1535430" y="7057390"/>
          <a:ext cx="1508760" cy="750570"/>
        </a:xfrm>
        <a:prstGeom prst="rect">
          <a:avLst/>
        </a:prstGeom>
      </xdr:spPr>
    </xdr:pic>
  </etc:cellImage>
  <etc:cellImage>
    <xdr:pic>
      <xdr:nvPicPr>
        <xdr:cNvPr id="23" name="ID_316A60CA24274AFB94C6E5C6072F0571"/>
        <xdr:cNvPicPr>
          <a:picLocks noChangeAspect="1"/>
        </xdr:cNvPicPr>
      </xdr:nvPicPr>
      <xdr:blipFill>
        <a:blip r:embed="rId11"/>
        <a:stretch>
          <a:fillRect/>
        </a:stretch>
      </xdr:blipFill>
      <xdr:spPr>
        <a:xfrm>
          <a:off x="762000" y="6286500"/>
          <a:ext cx="1508760" cy="750570"/>
        </a:xfrm>
        <a:prstGeom prst="rect">
          <a:avLst/>
        </a:prstGeom>
      </xdr:spPr>
    </xdr:pic>
  </etc:cellImage>
  <etc:cellImage>
    <xdr:pic>
      <xdr:nvPicPr>
        <xdr:cNvPr id="24" name="ID_ED13969E3317402EB68C63AA85FB9EA6"/>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829945" y="1660525"/>
          <a:ext cx="1249045" cy="1123950"/>
        </a:xfrm>
        <a:prstGeom prst="rect">
          <a:avLst/>
        </a:prstGeom>
      </xdr:spPr>
    </xdr:pic>
  </etc:cellImage>
  <etc:cellImage>
    <xdr:pic>
      <xdr:nvPicPr>
        <xdr:cNvPr id="42" name="ID_341218F06C624D8F83ED6F6C962EE287"/>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1270" y="1206500"/>
          <a:ext cx="908050" cy="1169035"/>
        </a:xfrm>
        <a:prstGeom prst="rect">
          <a:avLst/>
        </a:prstGeom>
      </xdr:spPr>
    </xdr:pic>
  </etc:cellImage>
  <etc:cellImage>
    <xdr:pic>
      <xdr:nvPicPr>
        <xdr:cNvPr id="54" name="ID_A157D79EE7224A18B6A03F6C67C70505" descr="图标_职业_先锋_大图"/>
        <xdr:cNvPicPr>
          <a:picLocks noChangeAspect="1"/>
        </xdr:cNvPicPr>
      </xdr:nvPicPr>
      <xdr:blipFill>
        <a:blip r:embed="rId22"/>
        <a:stretch>
          <a:fillRect/>
        </a:stretch>
      </xdr:blipFill>
      <xdr:spPr>
        <a:xfrm>
          <a:off x="134620" y="134620"/>
          <a:ext cx="516255" cy="520065"/>
        </a:xfrm>
        <a:prstGeom prst="rect">
          <a:avLst/>
        </a:prstGeom>
      </xdr:spPr>
    </xdr:pic>
  </etc:cellImage>
  <etc:cellImage>
    <xdr:pic>
      <xdr:nvPicPr>
        <xdr:cNvPr id="61" name="ID_742E90CBE26740019D9A1FE04E8C995D"/>
        <xdr:cNvPicPr>
          <a:picLocks noChangeAspect="1"/>
        </xdr:cNvPicPr>
      </xdr:nvPicPr>
      <xdr:blipFill>
        <a:blip r:embed="rId12"/>
        <a:stretch>
          <a:fillRect/>
        </a:stretch>
      </xdr:blipFill>
      <xdr:spPr>
        <a:xfrm>
          <a:off x="929640" y="6908800"/>
          <a:ext cx="2511425" cy="1493520"/>
        </a:xfrm>
        <a:prstGeom prst="rect">
          <a:avLst/>
        </a:prstGeom>
      </xdr:spPr>
    </xdr:pic>
  </etc:cellImage>
  <etc:cellImage>
    <xdr:pic>
      <xdr:nvPicPr>
        <xdr:cNvPr id="65" name="ID_3E5E0D45B9E64914B92FAA3A02A4AC93"/>
        <xdr:cNvPicPr>
          <a:picLocks noChangeAspect="1"/>
        </xdr:cNvPicPr>
      </xdr:nvPicPr>
      <xdr:blipFill>
        <a:blip r:embed="rId23"/>
        <a:stretch>
          <a:fillRect/>
        </a:stretch>
      </xdr:blipFill>
      <xdr:spPr>
        <a:xfrm>
          <a:off x="1383030" y="6460490"/>
          <a:ext cx="2487930" cy="2476500"/>
        </a:xfrm>
        <a:prstGeom prst="rect">
          <a:avLst/>
        </a:prstGeom>
      </xdr:spPr>
    </xdr:pic>
  </etc:cellImage>
  <etc:cellImage>
    <xdr:pic>
      <xdr:nvPicPr>
        <xdr:cNvPr id="66" name="ID_FC74DF890C58414391C36BDA90B3718A"/>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1270" y="1206500"/>
          <a:ext cx="1174750" cy="1188085"/>
        </a:xfrm>
        <a:prstGeom prst="rect">
          <a:avLst/>
        </a:prstGeom>
      </xdr:spPr>
    </xdr:pic>
  </etc:cellImage>
  <etc:cellImage>
    <xdr:pic>
      <xdr:nvPicPr>
        <xdr:cNvPr id="6" name="ID_F3AFEE223CA74EBC9DC67BEE17AE66C7" descr="中心32"/>
        <xdr:cNvPicPr>
          <a:picLocks noChangeAspect="1"/>
        </xdr:cNvPicPr>
      </xdr:nvPicPr>
      <xdr:blipFill>
        <a:blip r:embed="rId25"/>
        <a:stretch>
          <a:fillRect/>
        </a:stretch>
      </xdr:blipFill>
      <xdr:spPr>
        <a:xfrm>
          <a:off x="20201890" y="6649085"/>
          <a:ext cx="667385" cy="664210"/>
        </a:xfrm>
        <a:prstGeom prst="rect">
          <a:avLst/>
        </a:prstGeom>
      </xdr:spPr>
    </xdr:pic>
  </etc:cellImage>
  <etc:cellImage>
    <xdr:pic>
      <xdr:nvPicPr>
        <xdr:cNvPr id="9" name="ID_7908D39EEAA34C6C8E7513F8FECDFB7E"/>
        <xdr:cNvPicPr>
          <a:picLocks noChangeAspect="1"/>
        </xdr:cNvPicPr>
      </xdr:nvPicPr>
      <xdr:blipFill>
        <a:blip r:embed="rId11"/>
        <a:stretch>
          <a:fillRect/>
        </a:stretch>
      </xdr:blipFill>
      <xdr:spPr>
        <a:xfrm>
          <a:off x="1140460" y="6397625"/>
          <a:ext cx="914400" cy="457200"/>
        </a:xfrm>
        <a:prstGeom prst="rect">
          <a:avLst/>
        </a:prstGeom>
      </xdr:spPr>
    </xdr:pic>
  </etc:cellImage>
  <etc:cellImage>
    <xdr:pic>
      <xdr:nvPicPr>
        <xdr:cNvPr id="35" name="ID_792B067B6E5A4883B91DFB87C9EF9AF2" descr="职业分支图标_尖兵"/>
        <xdr:cNvPicPr/>
      </xdr:nvPicPr>
      <xdr:blipFill>
        <a:blip r:embed="rId26"/>
        <a:stretch>
          <a:fillRect/>
        </a:stretch>
      </xdr:blipFill>
      <xdr:spPr>
        <a:xfrm>
          <a:off x="0" y="0"/>
          <a:ext cx="666750" cy="666750"/>
        </a:xfrm>
        <a:prstGeom prst="rect">
          <a:avLst/>
        </a:prstGeom>
      </xdr:spPr>
    </xdr:pic>
  </etc:cellImage>
  <etc:cellImage>
    <xdr:pic>
      <xdr:nvPicPr>
        <xdr:cNvPr id="14" name="ID_9423E31730AF44A6886F6782D7D46033" descr="图标_职业_先锋_大图"/>
        <xdr:cNvPicPr/>
      </xdr:nvPicPr>
      <xdr:blipFill>
        <a:blip r:embed="rId27"/>
        <a:stretch>
          <a:fillRect/>
        </a:stretch>
      </xdr:blipFill>
      <xdr:spPr>
        <a:xfrm>
          <a:off x="0" y="0"/>
          <a:ext cx="2438400" cy="2438400"/>
        </a:xfrm>
        <a:prstGeom prst="rect">
          <a:avLst/>
        </a:prstGeom>
      </xdr:spPr>
    </xdr:pic>
  </etc:cellImage>
  <etc:cellImage>
    <xdr:pic>
      <xdr:nvPicPr>
        <xdr:cNvPr id="17" name="ID_83497D9D197843F1A9F58B9E776F6CA0" descr="剑雨"/>
        <xdr:cNvPicPr/>
      </xdr:nvPicPr>
      <xdr:blipFill>
        <a:blip r:embed="rId28"/>
        <a:stretch>
          <a:fillRect/>
        </a:stretch>
      </xdr:blipFill>
      <xdr:spPr>
        <a:xfrm>
          <a:off x="0" y="0"/>
          <a:ext cx="1238250" cy="1238250"/>
        </a:xfrm>
        <a:prstGeom prst="rect">
          <a:avLst/>
        </a:prstGeom>
      </xdr:spPr>
    </xdr:pic>
  </etc:cellImage>
  <etc:cellImage>
    <xdr:pic>
      <xdr:nvPicPr>
        <xdr:cNvPr id="18" name="ID_B67E5DDDEF70426CA019D046D94CEEC1" descr="职业分支图标_守护者"/>
        <xdr:cNvPicPr/>
      </xdr:nvPicPr>
      <xdr:blipFill>
        <a:blip r:embed="rId29"/>
        <a:stretch>
          <a:fillRect/>
        </a:stretch>
      </xdr:blipFill>
      <xdr:spPr>
        <a:xfrm>
          <a:off x="0" y="0"/>
          <a:ext cx="457200" cy="581025"/>
        </a:xfrm>
        <a:prstGeom prst="rect">
          <a:avLst/>
        </a:prstGeom>
      </xdr:spPr>
    </xdr:pic>
  </etc:cellImage>
  <etc:cellImage>
    <xdr:pic>
      <xdr:nvPicPr>
        <xdr:cNvPr id="19" name="ID_CFCF10DCBA314A9AA5E7CA7AD8D31697" descr="图标_职业_重装_大图"/>
        <xdr:cNvPicPr/>
      </xdr:nvPicPr>
      <xdr:blipFill>
        <a:blip r:embed="rId30"/>
        <a:stretch>
          <a:fillRect/>
        </a:stretch>
      </xdr:blipFill>
      <xdr:spPr>
        <a:xfrm>
          <a:off x="0" y="0"/>
          <a:ext cx="2438400" cy="2438400"/>
        </a:xfrm>
        <a:prstGeom prst="rect">
          <a:avLst/>
        </a:prstGeom>
      </xdr:spPr>
    </xdr:pic>
  </etc:cellImage>
  <etc:cellImage>
    <xdr:pic>
      <xdr:nvPicPr>
        <xdr:cNvPr id="21" name="ID_8D09830AA62B4233B741B0F0670BC711" descr="一格"/>
        <xdr:cNvPicPr/>
      </xdr:nvPicPr>
      <xdr:blipFill>
        <a:blip r:embed="rId11"/>
        <a:stretch>
          <a:fillRect/>
        </a:stretch>
      </xdr:blipFill>
      <xdr:spPr>
        <a:xfrm>
          <a:off x="0" y="0"/>
          <a:ext cx="495300" cy="247650"/>
        </a:xfrm>
        <a:prstGeom prst="rect">
          <a:avLst/>
        </a:prstGeom>
      </xdr:spPr>
    </xdr:pic>
  </etc:cellImage>
  <etc:cellImage>
    <xdr:pic>
      <xdr:nvPicPr>
        <xdr:cNvPr id="29" name="ID_A874CB211EF44B9AA4733DB874EC56FE" descr="剑雨"/>
        <xdr:cNvPicPr/>
      </xdr:nvPicPr>
      <xdr:blipFill>
        <a:blip r:embed="rId28"/>
        <a:stretch>
          <a:fillRect/>
        </a:stretch>
      </xdr:blipFill>
      <xdr:spPr>
        <a:xfrm>
          <a:off x="0" y="0"/>
          <a:ext cx="1238250" cy="1238250"/>
        </a:xfrm>
        <a:prstGeom prst="rect">
          <a:avLst/>
        </a:prstGeom>
      </xdr:spPr>
    </xdr:pic>
  </etc:cellImage>
  <etc:cellImage>
    <xdr:pic>
      <xdr:nvPicPr>
        <xdr:cNvPr id="30" name="ID_6E6B59E639884C05B5C7574D29E44A07" descr="圈"/>
        <xdr:cNvPicPr/>
      </xdr:nvPicPr>
      <xdr:blipFill>
        <a:blip r:embed="rId4"/>
        <a:stretch>
          <a:fillRect/>
        </a:stretch>
      </xdr:blipFill>
      <xdr:spPr>
        <a:xfrm>
          <a:off x="0" y="0"/>
          <a:ext cx="742950" cy="742950"/>
        </a:xfrm>
        <a:prstGeom prst="rect">
          <a:avLst/>
        </a:prstGeom>
      </xdr:spPr>
    </xdr:pic>
  </etc:cellImage>
  <etc:cellImage>
    <xdr:pic>
      <xdr:nvPicPr>
        <xdr:cNvPr id="40" name="ID_8C143B6130C74BFAB464C18C45A97D5D" descr="半三角"/>
        <xdr:cNvPicPr/>
      </xdr:nvPicPr>
      <xdr:blipFill>
        <a:blip r:embed="rId31"/>
        <a:stretch>
          <a:fillRect/>
        </a:stretch>
      </xdr:blipFill>
      <xdr:spPr>
        <a:xfrm>
          <a:off x="0" y="0"/>
          <a:ext cx="742950" cy="1238250"/>
        </a:xfrm>
        <a:prstGeom prst="rect">
          <a:avLst/>
        </a:prstGeom>
      </xdr:spPr>
    </xdr:pic>
  </etc:cellImage>
  <etc:cellImage>
    <xdr:pic>
      <xdr:nvPicPr>
        <xdr:cNvPr id="41" name="ID_E2CF29B120684B08906AFCDD89C491E4" descr="狙击"/>
        <xdr:cNvPicPr/>
      </xdr:nvPicPr>
      <xdr:blipFill>
        <a:blip r:embed="rId9" r:link="rId7"/>
        <a:stretch>
          <a:fillRect/>
        </a:stretch>
      </xdr:blipFill>
      <xdr:spPr>
        <a:xfrm>
          <a:off x="0" y="0"/>
          <a:ext cx="990600" cy="742950"/>
        </a:xfrm>
        <a:prstGeom prst="rect">
          <a:avLst/>
        </a:prstGeom>
      </xdr:spPr>
    </xdr:pic>
  </etc:cellImage>
  <etc:cellImage>
    <xdr:pic>
      <xdr:nvPicPr>
        <xdr:cNvPr id="44" name="ID_8D4B69DDED7440F2A118EE13FA90BFFB" descr="狙击"/>
        <xdr:cNvPicPr/>
      </xdr:nvPicPr>
      <xdr:blipFill>
        <a:blip r:embed="rId9" r:link="rId7"/>
        <a:stretch>
          <a:fillRect/>
        </a:stretch>
      </xdr:blipFill>
      <xdr:spPr>
        <a:xfrm>
          <a:off x="0" y="0"/>
          <a:ext cx="990600" cy="742950"/>
        </a:xfrm>
        <a:prstGeom prst="rect">
          <a:avLst/>
        </a:prstGeom>
      </xdr:spPr>
    </xdr:pic>
  </etc:cellImage>
  <etc:cellImage>
    <xdr:pic>
      <xdr:nvPicPr>
        <xdr:cNvPr id="46" name="ID_CF9D1CFE5AB345FF9652F132DF3E85FA" descr="职业分支图标_守护者"/>
        <xdr:cNvPicPr/>
      </xdr:nvPicPr>
      <xdr:blipFill>
        <a:blip r:embed="rId29"/>
        <a:stretch>
          <a:fillRect/>
        </a:stretch>
      </xdr:blipFill>
      <xdr:spPr>
        <a:xfrm>
          <a:off x="0" y="0"/>
          <a:ext cx="457200" cy="581025"/>
        </a:xfrm>
        <a:prstGeom prst="rect">
          <a:avLst/>
        </a:prstGeom>
      </xdr:spPr>
    </xdr:pic>
  </etc:cellImage>
  <etc:cellImage>
    <xdr:pic>
      <xdr:nvPicPr>
        <xdr:cNvPr id="48" name="ID_FB3A043630614760B698277D03B82734" descr="剑雨"/>
        <xdr:cNvPicPr/>
      </xdr:nvPicPr>
      <xdr:blipFill>
        <a:blip r:embed="rId28"/>
        <a:stretch>
          <a:fillRect/>
        </a:stretch>
      </xdr:blipFill>
      <xdr:spPr>
        <a:xfrm>
          <a:off x="0" y="0"/>
          <a:ext cx="1238250" cy="1238250"/>
        </a:xfrm>
        <a:prstGeom prst="rect">
          <a:avLst/>
        </a:prstGeom>
      </xdr:spPr>
    </xdr:pic>
  </etc:cellImage>
  <etc:cellImage>
    <xdr:pic>
      <xdr:nvPicPr>
        <xdr:cNvPr id="53" name="ID_44592E6BD30A44C79E6FE4556A882D03" descr="职业分支图标_吟游者"/>
        <xdr:cNvPicPr/>
      </xdr:nvPicPr>
      <xdr:blipFill>
        <a:blip r:embed="rId32"/>
        <a:stretch>
          <a:fillRect/>
        </a:stretch>
      </xdr:blipFill>
      <xdr:spPr>
        <a:xfrm>
          <a:off x="0" y="0"/>
          <a:ext cx="590550" cy="552450"/>
        </a:xfrm>
        <a:prstGeom prst="rect">
          <a:avLst/>
        </a:prstGeom>
      </xdr:spPr>
    </xdr:pic>
  </etc:cellImage>
  <etc:cellImage>
    <xdr:pic>
      <xdr:nvPicPr>
        <xdr:cNvPr id="56" name="ID_A7A0BBEF03284B95B3B237F31C2558B2" descr="图标_职业_辅助_大图"/>
        <xdr:cNvPicPr/>
      </xdr:nvPicPr>
      <xdr:blipFill>
        <a:blip r:embed="rId33"/>
        <a:stretch>
          <a:fillRect/>
        </a:stretch>
      </xdr:blipFill>
      <xdr:spPr>
        <a:xfrm>
          <a:off x="0" y="0"/>
          <a:ext cx="2438400" cy="2438400"/>
        </a:xfrm>
        <a:prstGeom prst="rect">
          <a:avLst/>
        </a:prstGeom>
      </xdr:spPr>
    </xdr:pic>
  </etc:cellImage>
  <etc:cellImage>
    <xdr:pic>
      <xdr:nvPicPr>
        <xdr:cNvPr id="57" name="ID_45B51E361A754A398FB3DF992A78D3E8" descr="狙击"/>
        <xdr:cNvPicPr/>
      </xdr:nvPicPr>
      <xdr:blipFill>
        <a:blip r:embed="rId9" r:link="rId7"/>
        <a:stretch>
          <a:fillRect/>
        </a:stretch>
      </xdr:blipFill>
      <xdr:spPr>
        <a:xfrm>
          <a:off x="0" y="0"/>
          <a:ext cx="990600" cy="742950"/>
        </a:xfrm>
        <a:prstGeom prst="rect">
          <a:avLst/>
        </a:prstGeom>
      </xdr:spPr>
    </xdr:pic>
  </etc:cellImage>
  <etc:cellImage>
    <xdr:pic>
      <xdr:nvPicPr>
        <xdr:cNvPr id="58" name="ID_1B0E4F6251AE402BA151B0200FFC6623" descr="职业分支图标_战术家"/>
        <xdr:cNvPicPr/>
      </xdr:nvPicPr>
      <xdr:blipFill>
        <a:blip r:embed="rId34"/>
        <a:stretch>
          <a:fillRect/>
        </a:stretch>
      </xdr:blipFill>
      <xdr:spPr>
        <a:xfrm>
          <a:off x="0" y="0"/>
          <a:ext cx="628650" cy="628650"/>
        </a:xfrm>
        <a:prstGeom prst="rect">
          <a:avLst/>
        </a:prstGeom>
      </xdr:spPr>
    </xdr:pic>
  </etc:cellImage>
  <etc:cellImage>
    <xdr:pic>
      <xdr:nvPicPr>
        <xdr:cNvPr id="60" name="ID_B47122EA52C94B5995CA8EC5B734ADF9" descr="图标_职业_先锋_大图"/>
        <xdr:cNvPicPr/>
      </xdr:nvPicPr>
      <xdr:blipFill>
        <a:blip r:embed="rId27"/>
        <a:stretch>
          <a:fillRect/>
        </a:stretch>
      </xdr:blipFill>
      <xdr:spPr>
        <a:xfrm>
          <a:off x="0" y="0"/>
          <a:ext cx="2438400" cy="2438400"/>
        </a:xfrm>
        <a:prstGeom prst="rect">
          <a:avLst/>
        </a:prstGeom>
      </xdr:spPr>
    </xdr:pic>
  </etc:cellImage>
  <etc:cellImage>
    <xdr:pic>
      <xdr:nvPicPr>
        <xdr:cNvPr id="62" name="ID_D6F4F8F55CDD486DBA32920D72CC8142" descr="图标_职业_特种_大图"/>
        <xdr:cNvPicPr/>
      </xdr:nvPicPr>
      <xdr:blipFill>
        <a:blip r:embed="rId35"/>
        <a:stretch>
          <a:fillRect/>
        </a:stretch>
      </xdr:blipFill>
      <xdr:spPr>
        <a:xfrm>
          <a:off x="0" y="0"/>
          <a:ext cx="2438400" cy="2438400"/>
        </a:xfrm>
        <a:prstGeom prst="rect">
          <a:avLst/>
        </a:prstGeom>
      </xdr:spPr>
    </xdr:pic>
  </etc:cellImage>
  <etc:cellImage>
    <xdr:pic>
      <xdr:nvPicPr>
        <xdr:cNvPr id="68" name="ID_A92604E3F2964BA3BAE30375E052A709" descr="一格"/>
        <xdr:cNvPicPr/>
      </xdr:nvPicPr>
      <xdr:blipFill>
        <a:blip r:embed="rId11"/>
        <a:stretch>
          <a:fillRect/>
        </a:stretch>
      </xdr:blipFill>
      <xdr:spPr>
        <a:xfrm>
          <a:off x="0" y="0"/>
          <a:ext cx="495300" cy="247650"/>
        </a:xfrm>
        <a:prstGeom prst="rect">
          <a:avLst/>
        </a:prstGeom>
      </xdr:spPr>
    </xdr:pic>
  </etc:cellImage>
  <etc:cellImage>
    <xdr:pic>
      <xdr:nvPicPr>
        <xdr:cNvPr id="69" name="ID_43EFE553F0214BC690897F2A4F9BAA95" descr="圈"/>
        <xdr:cNvPicPr/>
      </xdr:nvPicPr>
      <xdr:blipFill>
        <a:blip r:embed="rId4"/>
        <a:stretch>
          <a:fillRect/>
        </a:stretch>
      </xdr:blipFill>
      <xdr:spPr>
        <a:xfrm>
          <a:off x="0" y="0"/>
          <a:ext cx="742950" cy="742950"/>
        </a:xfrm>
        <a:prstGeom prst="rect">
          <a:avLst/>
        </a:prstGeom>
      </xdr:spPr>
    </xdr:pic>
  </etc:cellImage>
  <etc:cellImage>
    <xdr:pic>
      <xdr:nvPicPr>
        <xdr:cNvPr id="81" name="ID_48F41A9A0A794D55AFE46827982439E5" descr="职业分支图标_处决者"/>
        <xdr:cNvPicPr/>
      </xdr:nvPicPr>
      <xdr:blipFill>
        <a:blip r:embed="rId36"/>
        <a:stretch>
          <a:fillRect/>
        </a:stretch>
      </xdr:blipFill>
      <xdr:spPr>
        <a:xfrm>
          <a:off x="0" y="0"/>
          <a:ext cx="609600" cy="466725"/>
        </a:xfrm>
        <a:prstGeom prst="rect">
          <a:avLst/>
        </a:prstGeom>
      </xdr:spPr>
    </xdr:pic>
  </etc:cellImage>
  <etc:cellImage>
    <xdr:pic>
      <xdr:nvPicPr>
        <xdr:cNvPr id="82" name="ID_C5283FB0E1ED495784C9187B888A42D9" descr="剑雨"/>
        <xdr:cNvPicPr/>
      </xdr:nvPicPr>
      <xdr:blipFill>
        <a:blip r:embed="rId28"/>
        <a:stretch>
          <a:fillRect/>
        </a:stretch>
      </xdr:blipFill>
      <xdr:spPr>
        <a:xfrm>
          <a:off x="0" y="0"/>
          <a:ext cx="1238250" cy="1238250"/>
        </a:xfrm>
        <a:prstGeom prst="rect">
          <a:avLst/>
        </a:prstGeom>
      </xdr:spPr>
    </xdr:pic>
  </etc:cellImage>
  <etc:cellImage>
    <xdr:pic>
      <xdr:nvPicPr>
        <xdr:cNvPr id="83" name="ID_73AD8180311B4600898D2FE92FF52E63" descr="圈"/>
        <xdr:cNvPicPr/>
      </xdr:nvPicPr>
      <xdr:blipFill>
        <a:blip r:embed="rId4"/>
        <a:stretch>
          <a:fillRect/>
        </a:stretch>
      </xdr:blipFill>
      <xdr:spPr>
        <a:xfrm>
          <a:off x="0" y="0"/>
          <a:ext cx="742950" cy="742950"/>
        </a:xfrm>
        <a:prstGeom prst="rect">
          <a:avLst/>
        </a:prstGeom>
      </xdr:spPr>
    </xdr:pic>
  </etc:cellImage>
  <etc:cellImage>
    <xdr:pic>
      <xdr:nvPicPr>
        <xdr:cNvPr id="27" name="ID_F8079588F6A94777946C2A55ED103984" descr="控制区"/>
        <xdr:cNvPicPr>
          <a:picLocks noChangeAspect="1"/>
        </xdr:cNvPicPr>
      </xdr:nvPicPr>
      <xdr:blipFill>
        <a:blip r:embed="rId19"/>
        <a:stretch>
          <a:fillRect/>
        </a:stretch>
      </xdr:blipFill>
      <xdr:spPr>
        <a:xfrm>
          <a:off x="5845810" y="10583545"/>
          <a:ext cx="369570" cy="554990"/>
        </a:xfrm>
        <a:prstGeom prst="rect">
          <a:avLst/>
        </a:prstGeom>
      </xdr:spPr>
    </xdr:pic>
  </etc:cellImage>
  <etc:cellImage>
    <xdr:pic>
      <xdr:nvPicPr>
        <xdr:cNvPr id="74" name="ID_4DA85EF7DBBC423494A691E5A7349D9A" descr="3乘3"/>
        <xdr:cNvPicPr>
          <a:picLocks noChangeAspect="1"/>
        </xdr:cNvPicPr>
      </xdr:nvPicPr>
      <xdr:blipFill>
        <a:blip r:embed="rId4"/>
        <a:stretch>
          <a:fillRect/>
        </a:stretch>
      </xdr:blipFill>
      <xdr:spPr>
        <a:xfrm>
          <a:off x="11862435" y="1127125"/>
          <a:ext cx="741680" cy="734695"/>
        </a:xfrm>
        <a:prstGeom prst="rect">
          <a:avLst/>
        </a:prstGeom>
      </xdr:spPr>
    </xdr:pic>
  </etc:cellImage>
  <etc:cellImage>
    <xdr:pic>
      <xdr:nvPicPr>
        <xdr:cNvPr id="86" name="ID_9C3EED6571B446FD9204928516D04141" descr="1"/>
        <xdr:cNvPicPr>
          <a:picLocks noChangeAspect="1"/>
        </xdr:cNvPicPr>
      </xdr:nvPicPr>
      <xdr:blipFill>
        <a:blip r:embed="rId10" r:link="rId7"/>
        <a:stretch>
          <a:fillRect/>
        </a:stretch>
      </xdr:blipFill>
      <xdr:spPr>
        <a:xfrm>
          <a:off x="9006840" y="9093200"/>
          <a:ext cx="990600" cy="250190"/>
        </a:xfrm>
        <a:prstGeom prst="rect">
          <a:avLst/>
        </a:prstGeom>
      </xdr:spPr>
    </xdr:pic>
  </etc:cellImage>
  <etc:cellImage>
    <xdr:pic>
      <xdr:nvPicPr>
        <xdr:cNvPr id="67" name="ID_54C89963131846578FC36E23A0FFED17" descr="重射手"/>
        <xdr:cNvPicPr>
          <a:picLocks noChangeAspect="1"/>
        </xdr:cNvPicPr>
      </xdr:nvPicPr>
      <xdr:blipFill>
        <a:blip r:embed="rId37"/>
        <a:stretch>
          <a:fillRect/>
        </a:stretch>
      </xdr:blipFill>
      <xdr:spPr>
        <a:xfrm>
          <a:off x="12357100" y="1209675"/>
          <a:ext cx="737235" cy="746760"/>
        </a:xfrm>
        <a:prstGeom prst="rect">
          <a:avLst/>
        </a:prstGeom>
      </xdr:spPr>
    </xdr:pic>
  </etc:cellImage>
  <etc:cellImage>
    <xdr:pic>
      <xdr:nvPicPr>
        <xdr:cNvPr id="87" name="ID_A4A95ADCA26B463DB67D8D72B0A9DA21" descr="upload_post_object_v2_383006084"/>
        <xdr:cNvPicPr/>
      </xdr:nvPicPr>
      <xdr:blipFill>
        <a:blip r:embed="rId38"/>
        <a:stretch>
          <a:fillRect/>
        </a:stretch>
      </xdr:blipFill>
      <xdr:spPr>
        <a:xfrm>
          <a:off x="0" y="0"/>
          <a:ext cx="792480" cy="594360"/>
        </a:xfrm>
        <a:prstGeom prst="rect">
          <a:avLst/>
        </a:prstGeom>
      </xdr:spPr>
    </xdr:pic>
  </etc:cellImage>
  <etc:cellImage>
    <xdr:pic>
      <xdr:nvPicPr>
        <xdr:cNvPr id="85" name="ID_DA242BD9C971478B8F83339E81F6373C" descr="upload_post_object_v2_185539293"/>
        <xdr:cNvPicPr/>
      </xdr:nvPicPr>
      <xdr:blipFill>
        <a:blip r:embed="rId19"/>
        <a:stretch>
          <a:fillRect/>
        </a:stretch>
      </xdr:blipFill>
      <xdr:spPr>
        <a:xfrm>
          <a:off x="0" y="0"/>
          <a:ext cx="396240" cy="594360"/>
        </a:xfrm>
        <a:prstGeom prst="rect">
          <a:avLst/>
        </a:prstGeom>
      </xdr:spPr>
    </xdr:pic>
  </etc:cellImage>
  <etc:cellImage>
    <xdr:pic>
      <xdr:nvPicPr>
        <xdr:cNvPr id="88" name="ID_93AF71A716EA400F9D70DA11FAEEA65B" descr="upload_post_object_v2_4004393886"/>
        <xdr:cNvPicPr/>
      </xdr:nvPicPr>
      <xdr:blipFill>
        <a:blip r:embed="rId4"/>
        <a:stretch>
          <a:fillRect/>
        </a:stretch>
      </xdr:blipFill>
      <xdr:spPr>
        <a:xfrm>
          <a:off x="0" y="0"/>
          <a:ext cx="594360" cy="594360"/>
        </a:xfrm>
        <a:prstGeom prst="rect">
          <a:avLst/>
        </a:prstGeom>
      </xdr:spPr>
    </xdr:pic>
  </etc:cellImage>
  <etc:cellImage>
    <xdr:pic>
      <xdr:nvPicPr>
        <xdr:cNvPr id="89" name="ID_2233DE8728B74C83B8B630940C573489" descr="upload_post_object_v2_4033124857"/>
        <xdr:cNvPicPr/>
      </xdr:nvPicPr>
      <xdr:blipFill>
        <a:blip r:embed="rId28"/>
        <a:stretch>
          <a:fillRect/>
        </a:stretch>
      </xdr:blipFill>
      <xdr:spPr>
        <a:xfrm>
          <a:off x="0" y="0"/>
          <a:ext cx="990600" cy="990600"/>
        </a:xfrm>
        <a:prstGeom prst="rect">
          <a:avLst/>
        </a:prstGeom>
      </xdr:spPr>
    </xdr:pic>
  </etc:cellImage>
  <etc:cellImage>
    <xdr:pic>
      <xdr:nvPicPr>
        <xdr:cNvPr id="90" name="ID_9704A92A30C84B729835535B92E2A4EB" descr="upload_post_object_v2_867098261"/>
        <xdr:cNvPicPr/>
      </xdr:nvPicPr>
      <xdr:blipFill>
        <a:blip r:embed="rId25"/>
        <a:stretch>
          <a:fillRect/>
        </a:stretch>
      </xdr:blipFill>
      <xdr:spPr>
        <a:xfrm>
          <a:off x="0" y="0"/>
          <a:ext cx="1386840" cy="1386840"/>
        </a:xfrm>
        <a:prstGeom prst="rect">
          <a:avLst/>
        </a:prstGeom>
      </xdr:spPr>
    </xdr:pic>
  </etc:cellImage>
  <etc:cellImage>
    <xdr:pic>
      <xdr:nvPicPr>
        <xdr:cNvPr id="92" name="ID_284C1B149DE94A93989C2281C5FA45FD" descr="upload_post_object_v2_4032071847"/>
        <xdr:cNvPicPr/>
      </xdr:nvPicPr>
      <xdr:blipFill>
        <a:blip r:embed="rId39"/>
        <a:stretch>
          <a:fillRect/>
        </a:stretch>
      </xdr:blipFill>
      <xdr:spPr>
        <a:xfrm>
          <a:off x="0" y="0"/>
          <a:ext cx="1188720" cy="594360"/>
        </a:xfrm>
        <a:prstGeom prst="rect">
          <a:avLst/>
        </a:prstGeom>
      </xdr:spPr>
    </xdr:pic>
  </etc:cellImage>
  <etc:cellImage>
    <xdr:pic>
      <xdr:nvPicPr>
        <xdr:cNvPr id="94" name="ID_A7B09E412A8D4F3AA443B6DD0FFE9986" descr="upload_post_object_v2_3232628948"/>
        <xdr:cNvPicPr/>
      </xdr:nvPicPr>
      <xdr:blipFill>
        <a:blip r:embed="rId40"/>
        <a:stretch>
          <a:fillRect/>
        </a:stretch>
      </xdr:blipFill>
      <xdr:spPr>
        <a:xfrm>
          <a:off x="0" y="0"/>
          <a:ext cx="594360" cy="990600"/>
        </a:xfrm>
        <a:prstGeom prst="rect">
          <a:avLst/>
        </a:prstGeom>
      </xdr:spPr>
    </xdr:pic>
  </etc:cellImage>
  <etc:cellImage>
    <xdr:pic>
      <xdr:nvPicPr>
        <xdr:cNvPr id="91" name="ID_4FD3C9423D214817A8B8D9C7D8ECB3ED" descr="upload_post_object_v2_3297848780"/>
        <xdr:cNvPicPr/>
      </xdr:nvPicPr>
      <xdr:blipFill>
        <a:blip r:embed="rId41"/>
        <a:stretch>
          <a:fillRect/>
        </a:stretch>
      </xdr:blipFill>
      <xdr:spPr>
        <a:xfrm>
          <a:off x="0" y="0"/>
          <a:ext cx="990600" cy="198120"/>
        </a:xfrm>
        <a:prstGeom prst="rect">
          <a:avLst/>
        </a:prstGeom>
      </xdr:spPr>
    </xdr:pic>
  </etc:cellImage>
  <etc:cellImage>
    <xdr:pic>
      <xdr:nvPicPr>
        <xdr:cNvPr id="93" name="ID_D169DEFBE5134767AD7E40349F61D876" descr="upload_post_object_v2_822107244"/>
        <xdr:cNvPicPr/>
      </xdr:nvPicPr>
      <xdr:blipFill>
        <a:blip r:embed="rId10" r:link="rId7"/>
        <a:stretch>
          <a:fillRect/>
        </a:stretch>
      </xdr:blipFill>
      <xdr:spPr>
        <a:xfrm>
          <a:off x="0" y="0"/>
          <a:ext cx="792480" cy="198120"/>
        </a:xfrm>
        <a:prstGeom prst="rect">
          <a:avLst/>
        </a:prstGeom>
      </xdr:spPr>
    </xdr:pic>
  </etc:cellImage>
  <etc:cellImage>
    <xdr:pic>
      <xdr:nvPicPr>
        <xdr:cNvPr id="95" name="ID_6A9F183EC8474DDA8BC98EAAA4BF5135" descr="upload_post_object_v2_4016511087"/>
        <xdr:cNvPicPr/>
      </xdr:nvPicPr>
      <xdr:blipFill>
        <a:blip r:embed="rId19"/>
        <a:stretch>
          <a:fillRect/>
        </a:stretch>
      </xdr:blipFill>
      <xdr:spPr>
        <a:xfrm>
          <a:off x="0" y="0"/>
          <a:ext cx="396240" cy="594360"/>
        </a:xfrm>
        <a:prstGeom prst="rect">
          <a:avLst/>
        </a:prstGeom>
      </xdr:spPr>
    </xdr:pic>
  </etc:cellImage>
  <etc:cellImage>
    <xdr:pic>
      <xdr:nvPicPr>
        <xdr:cNvPr id="96" name="ID_BA58218353E74F7DAC0502083F309392" descr="upload_post_object_v2_4141998896"/>
        <xdr:cNvPicPr/>
      </xdr:nvPicPr>
      <xdr:blipFill>
        <a:blip r:embed="rId42"/>
        <a:stretch>
          <a:fillRect/>
        </a:stretch>
      </xdr:blipFill>
      <xdr:spPr>
        <a:xfrm>
          <a:off x="0" y="0"/>
          <a:ext cx="594360" cy="198120"/>
        </a:xfrm>
        <a:prstGeom prst="rect">
          <a:avLst/>
        </a:prstGeom>
      </xdr:spPr>
    </xdr:pic>
  </etc:cellImage>
  <etc:cellImage>
    <xdr:pic>
      <xdr:nvPicPr>
        <xdr:cNvPr id="98" name="ID_06FAE83C0AD241758D90AB199AA493DB" descr="upload_post_object_v2_1750045753"/>
        <xdr:cNvPicPr/>
      </xdr:nvPicPr>
      <xdr:blipFill>
        <a:blip r:embed="rId11"/>
        <a:stretch>
          <a:fillRect/>
        </a:stretch>
      </xdr:blipFill>
      <xdr:spPr>
        <a:xfrm>
          <a:off x="0" y="0"/>
          <a:ext cx="396240" cy="198120"/>
        </a:xfrm>
        <a:prstGeom prst="rect">
          <a:avLst/>
        </a:prstGeom>
      </xdr:spPr>
    </xdr:pic>
  </etc:cellImage>
  <etc:cellImage>
    <xdr:pic>
      <xdr:nvPicPr>
        <xdr:cNvPr id="99" name="ID_047325DC0A3E4F3EB849B53E4C513046" descr="upload_post_object_v2_241606980"/>
        <xdr:cNvPicPr/>
      </xdr:nvPicPr>
      <xdr:blipFill>
        <a:blip r:embed="rId4"/>
        <a:stretch>
          <a:fillRect/>
        </a:stretch>
      </xdr:blipFill>
      <xdr:spPr>
        <a:xfrm>
          <a:off x="0" y="0"/>
          <a:ext cx="594360" cy="594360"/>
        </a:xfrm>
        <a:prstGeom prst="rect">
          <a:avLst/>
        </a:prstGeom>
      </xdr:spPr>
    </xdr:pic>
  </etc:cellImage>
  <etc:cellImage>
    <xdr:pic>
      <xdr:nvPicPr>
        <xdr:cNvPr id="100" name="ID_8BC8464479CD4B10B008A050363D9845" descr="upload_post_object_v2_288303457"/>
        <xdr:cNvPicPr/>
      </xdr:nvPicPr>
      <xdr:blipFill>
        <a:blip r:embed="rId43"/>
        <a:stretch>
          <a:fillRect/>
        </a:stretch>
      </xdr:blipFill>
      <xdr:spPr>
        <a:xfrm>
          <a:off x="0" y="0"/>
          <a:ext cx="594360" cy="594360"/>
        </a:xfrm>
        <a:prstGeom prst="rect">
          <a:avLst/>
        </a:prstGeom>
      </xdr:spPr>
    </xdr:pic>
  </etc:cellImage>
  <etc:cellImage>
    <xdr:pic>
      <xdr:nvPicPr>
        <xdr:cNvPr id="71" name="ID_207D8C9A93CB4A2DB79141727A5AD7E6" descr="upload_post_object_v2_550784489"/>
        <xdr:cNvPicPr/>
      </xdr:nvPicPr>
      <xdr:blipFill>
        <a:blip r:embed="rId11"/>
        <a:stretch>
          <a:fillRect/>
        </a:stretch>
      </xdr:blipFill>
      <xdr:spPr>
        <a:xfrm>
          <a:off x="0" y="0"/>
          <a:ext cx="396240" cy="198120"/>
        </a:xfrm>
        <a:prstGeom prst="rect">
          <a:avLst/>
        </a:prstGeom>
      </xdr:spPr>
    </xdr:pic>
  </etc:cellImage>
  <etc:cellImage>
    <xdr:pic>
      <xdr:nvPicPr>
        <xdr:cNvPr id="101" name="ID_C0EBE7662F85411690D10D087CB847FF" descr="upload_post_object_v2_1342546146"/>
        <xdr:cNvPicPr/>
      </xdr:nvPicPr>
      <xdr:blipFill>
        <a:blip r:embed="rId28"/>
        <a:stretch>
          <a:fillRect/>
        </a:stretch>
      </xdr:blipFill>
      <xdr:spPr>
        <a:xfrm>
          <a:off x="0" y="0"/>
          <a:ext cx="990600" cy="990600"/>
        </a:xfrm>
        <a:prstGeom prst="rect">
          <a:avLst/>
        </a:prstGeom>
      </xdr:spPr>
    </xdr:pic>
  </etc:cellImage>
  <etc:cellImage>
    <xdr:pic>
      <xdr:nvPicPr>
        <xdr:cNvPr id="102" name="ID_A44094FD27CB4749AB4C5CCF7AC577A9" descr="upload_post_object_v2_1527288097"/>
        <xdr:cNvPicPr/>
      </xdr:nvPicPr>
      <xdr:blipFill>
        <a:blip r:embed="rId41"/>
        <a:stretch>
          <a:fillRect/>
        </a:stretch>
      </xdr:blipFill>
      <xdr:spPr>
        <a:xfrm>
          <a:off x="0" y="0"/>
          <a:ext cx="990600" cy="198120"/>
        </a:xfrm>
        <a:prstGeom prst="rect">
          <a:avLst/>
        </a:prstGeom>
      </xdr:spPr>
    </xdr:pic>
  </etc:cellImage>
  <etc:cellImage>
    <xdr:pic>
      <xdr:nvPicPr>
        <xdr:cNvPr id="103" name="ID_324AF5E1317449D68C4E7F15E04A1C5B" descr="upload_post_object_v2_1343086132"/>
        <xdr:cNvPicPr/>
      </xdr:nvPicPr>
      <xdr:blipFill>
        <a:blip r:embed="rId3"/>
        <a:stretch>
          <a:fillRect/>
        </a:stretch>
      </xdr:blipFill>
      <xdr:spPr>
        <a:xfrm>
          <a:off x="0" y="0"/>
          <a:ext cx="990600" cy="990600"/>
        </a:xfrm>
        <a:prstGeom prst="rect">
          <a:avLst/>
        </a:prstGeom>
      </xdr:spPr>
    </xdr:pic>
  </etc:cellImage>
  <etc:cellImage>
    <xdr:pic>
      <xdr:nvPicPr>
        <xdr:cNvPr id="105" name="ID_7E26653402B64D76AC771E9392B5B49A" descr="upload_post_object_v2_3596788361"/>
        <xdr:cNvPicPr/>
      </xdr:nvPicPr>
      <xdr:blipFill>
        <a:blip r:embed="rId44"/>
        <a:stretch>
          <a:fillRect/>
        </a:stretch>
      </xdr:blipFill>
      <xdr:spPr>
        <a:xfrm>
          <a:off x="0" y="0"/>
          <a:ext cx="251460" cy="419100"/>
        </a:xfrm>
        <a:prstGeom prst="rect">
          <a:avLst/>
        </a:prstGeom>
      </xdr:spPr>
    </xdr:pic>
  </etc:cellImage>
  <etc:cellImage>
    <xdr:pic>
      <xdr:nvPicPr>
        <xdr:cNvPr id="104" name="ID_38C1CA259B3E4194A01F00D33E6D83C1" descr="upload_post_object_v2_2869454923"/>
        <xdr:cNvPicPr/>
      </xdr:nvPicPr>
      <xdr:blipFill>
        <a:blip r:embed="rId45"/>
        <a:stretch>
          <a:fillRect/>
        </a:stretch>
      </xdr:blipFill>
      <xdr:spPr>
        <a:xfrm>
          <a:off x="0" y="0"/>
          <a:ext cx="975360" cy="975360"/>
        </a:xfrm>
        <a:prstGeom prst="rect">
          <a:avLst/>
        </a:prstGeom>
      </xdr:spPr>
    </xdr:pic>
  </etc:cellImage>
  <etc:cellImage>
    <xdr:pic>
      <xdr:nvPicPr>
        <xdr:cNvPr id="38" name="ID_1BF0C97380BF473693822C43096A8FDA" descr="upload_post_object_v2_126587197"/>
        <xdr:cNvPicPr/>
      </xdr:nvPicPr>
      <xdr:blipFill>
        <a:blip r:embed="rId28"/>
        <a:stretch>
          <a:fillRect/>
        </a:stretch>
      </xdr:blipFill>
      <xdr:spPr>
        <a:xfrm>
          <a:off x="0" y="0"/>
          <a:ext cx="990600" cy="990600"/>
        </a:xfrm>
        <a:prstGeom prst="rect">
          <a:avLst/>
        </a:prstGeom>
      </xdr:spPr>
    </xdr:pic>
  </etc:cellImage>
  <etc:cellImage>
    <xdr:pic>
      <xdr:nvPicPr>
        <xdr:cNvPr id="106" name="ID_B7348782B6964750A92A46CA70681D16" descr="upload_post_object_v2_2020964230"/>
        <xdr:cNvPicPr/>
      </xdr:nvPicPr>
      <xdr:blipFill>
        <a:blip r:embed="rId46"/>
        <a:stretch>
          <a:fillRect/>
        </a:stretch>
      </xdr:blipFill>
      <xdr:spPr>
        <a:xfrm>
          <a:off x="0" y="0"/>
          <a:ext cx="502920" cy="510540"/>
        </a:xfrm>
        <a:prstGeom prst="rect">
          <a:avLst/>
        </a:prstGeom>
      </xdr:spPr>
    </xdr:pic>
  </etc:cellImage>
  <etc:cellImage>
    <xdr:pic>
      <xdr:nvPicPr>
        <xdr:cNvPr id="25" name="ID_9786474967E94C57B1093B255C807353" descr="post_object_image_941878803"/>
        <xdr:cNvPicPr/>
      </xdr:nvPicPr>
      <xdr:blipFill>
        <a:blip r:embed="rId47"/>
        <a:stretch>
          <a:fillRect/>
        </a:stretch>
      </xdr:blipFill>
      <xdr:spPr>
        <a:xfrm>
          <a:off x="0" y="0"/>
          <a:ext cx="723900" cy="539750"/>
        </a:xfrm>
        <a:prstGeom prst="rect">
          <a:avLst/>
        </a:prstGeom>
      </xdr:spPr>
    </xdr:pic>
  </etc:cellImage>
  <etc:cellImage>
    <xdr:pic>
      <xdr:nvPicPr>
        <xdr:cNvPr id="45" name="ID_DDB8380B767642F281E1071C715C023C" descr="post_object_image_1072205974"/>
        <xdr:cNvPicPr/>
      </xdr:nvPicPr>
      <xdr:blipFill>
        <a:blip r:embed="rId48"/>
        <a:stretch>
          <a:fillRect/>
        </a:stretch>
      </xdr:blipFill>
      <xdr:spPr>
        <a:xfrm>
          <a:off x="0" y="0"/>
          <a:ext cx="730250" cy="730250"/>
        </a:xfrm>
        <a:prstGeom prst="rect">
          <a:avLst/>
        </a:prstGeom>
      </xdr:spPr>
    </xdr:pic>
  </etc:cellImage>
  <etc:cellImage>
    <xdr:pic>
      <xdr:nvPicPr>
        <xdr:cNvPr id="47" name="ID_E39D200512934CD8BEC1F6DEA8CD1869" descr="post_object_image_1547302513"/>
        <xdr:cNvPicPr/>
      </xdr:nvPicPr>
      <xdr:blipFill>
        <a:blip r:embed="rId49"/>
        <a:stretch>
          <a:fillRect/>
        </a:stretch>
      </xdr:blipFill>
      <xdr:spPr>
        <a:xfrm>
          <a:off x="0" y="0"/>
          <a:ext cx="546100" cy="527050"/>
        </a:xfrm>
        <a:prstGeom prst="rect">
          <a:avLst/>
        </a:prstGeom>
      </xdr:spPr>
    </xdr:pic>
  </etc:cellImage>
  <etc:cellImage>
    <xdr:pic>
      <xdr:nvPicPr>
        <xdr:cNvPr id="49" name="ID_89DD0FA4551446DFBDB3D230393AAFC8" descr="post_object_image_2516450850"/>
        <xdr:cNvPicPr/>
      </xdr:nvPicPr>
      <xdr:blipFill>
        <a:blip r:embed="rId50"/>
        <a:stretch>
          <a:fillRect/>
        </a:stretch>
      </xdr:blipFill>
      <xdr:spPr>
        <a:xfrm>
          <a:off x="0" y="0"/>
          <a:ext cx="1181100" cy="1162050"/>
        </a:xfrm>
        <a:prstGeom prst="rect">
          <a:avLst/>
        </a:prstGeom>
      </xdr:spPr>
    </xdr:pic>
  </etc:cellImage>
  <etc:cellImage>
    <xdr:pic>
      <xdr:nvPicPr>
        <xdr:cNvPr id="50" name="ID_DA07042A3DC548E098BD7D353F325826" descr="post_object_image_1510235839"/>
        <xdr:cNvPicPr/>
      </xdr:nvPicPr>
      <xdr:blipFill>
        <a:blip r:embed="rId51"/>
        <a:stretch>
          <a:fillRect/>
        </a:stretch>
      </xdr:blipFill>
      <xdr:spPr>
        <a:xfrm>
          <a:off x="0" y="0"/>
          <a:ext cx="1485900" cy="742950"/>
        </a:xfrm>
        <a:prstGeom prst="rect">
          <a:avLst/>
        </a:prstGeom>
      </xdr:spPr>
    </xdr:pic>
  </etc:cellImage>
  <etc:cellImage>
    <xdr:pic>
      <xdr:nvPicPr>
        <xdr:cNvPr id="51" name="ID_265424E762614271A0DCE5079B3E24EA" descr="post_object_image_4205861234"/>
        <xdr:cNvPicPr/>
      </xdr:nvPicPr>
      <xdr:blipFill>
        <a:blip r:embed="rId52"/>
        <a:stretch>
          <a:fillRect/>
        </a:stretch>
      </xdr:blipFill>
      <xdr:spPr>
        <a:xfrm>
          <a:off x="0" y="0"/>
          <a:ext cx="609600" cy="609600"/>
        </a:xfrm>
        <a:prstGeom prst="rect">
          <a:avLst/>
        </a:prstGeom>
      </xdr:spPr>
    </xdr:pic>
  </etc:cellImage>
  <etc:cellImage>
    <xdr:pic>
      <xdr:nvPicPr>
        <xdr:cNvPr id="52" name="ID_8197F082FB2C4992900143D5B7F1E282" descr="post_object_image_3346232781"/>
        <xdr:cNvPicPr/>
      </xdr:nvPicPr>
      <xdr:blipFill>
        <a:blip r:embed="rId53"/>
        <a:stretch>
          <a:fillRect/>
        </a:stretch>
      </xdr:blipFill>
      <xdr:spPr>
        <a:xfrm>
          <a:off x="0" y="0"/>
          <a:ext cx="609600" cy="336550"/>
        </a:xfrm>
        <a:prstGeom prst="rect">
          <a:avLst/>
        </a:prstGeom>
      </xdr:spPr>
    </xdr:pic>
  </etc:cellImage>
  <etc:cellImage>
    <xdr:pic>
      <xdr:nvPicPr>
        <xdr:cNvPr id="55" name="ID_48C5E21878D9484598794F0994FDC453" descr="post_object_image_285645182"/>
        <xdr:cNvPicPr/>
      </xdr:nvPicPr>
      <xdr:blipFill>
        <a:blip r:embed="rId54"/>
        <a:stretch>
          <a:fillRect/>
        </a:stretch>
      </xdr:blipFill>
      <xdr:spPr>
        <a:xfrm>
          <a:off x="0" y="0"/>
          <a:ext cx="990600" cy="742950"/>
        </a:xfrm>
        <a:prstGeom prst="rect">
          <a:avLst/>
        </a:prstGeom>
      </xdr:spPr>
    </xdr:pic>
  </etc:cellImage>
</etc:cellImages>
</file>

<file path=xl/comments1.xml><?xml version="1.0" encoding="utf-8"?>
<comments xmlns="http://schemas.openxmlformats.org/spreadsheetml/2006/main">
  <authors>
    <author>27205</author>
  </authors>
  <commentList>
    <comment ref="H5" authorId="0">
      <text>
        <r>
          <rPr>
            <sz val="9"/>
            <rFont val="宋体"/>
            <charset val="134"/>
          </rPr>
          <t>在技艺中所有提及的战术点都是战术家自身召唤出的战术点，其他战术家召唤的战术点不会与之发生互动。</t>
        </r>
      </text>
    </comment>
  </commentList>
</comments>
</file>

<file path=xl/sharedStrings.xml><?xml version="1.0" encoding="utf-8"?>
<sst xmlns="http://schemas.openxmlformats.org/spreadsheetml/2006/main" count="3345" uniqueCount="986">
  <si>
    <t>先锋</t>
  </si>
  <si>
    <t>DEFENDER</t>
  </si>
  <si>
    <r>
      <rPr>
        <b/>
        <sz val="11"/>
        <color rgb="FF7030A0"/>
        <rFont val="微软雅黑"/>
        <charset val="134"/>
      </rPr>
      <t>【破绽】</t>
    </r>
    <r>
      <rPr>
        <b/>
        <sz val="11"/>
        <color rgb="FF000000"/>
        <rFont val="微软雅黑"/>
        <charset val="134"/>
      </rPr>
      <t>：持有该状态的单位受到攻击后，攻击者回复3SP，同时清除该状态。尖兵自身无法触发该效果。</t>
    </r>
  </si>
  <si>
    <t>精英化阶段零</t>
  </si>
  <si>
    <t>精零天赋</t>
  </si>
  <si>
    <t>战术协同</t>
  </si>
  <si>
    <t>攻击管制</t>
  </si>
  <si>
    <t>挑衅</t>
  </si>
  <si>
    <t>只余芬芳</t>
  </si>
  <si>
    <t>精英化零阶段 被动技艺</t>
  </si>
  <si>
    <t>尖兵</t>
  </si>
  <si>
    <t>天赋名称</t>
  </si>
  <si>
    <t>哨兵</t>
  </si>
  <si>
    <t>行动消耗</t>
  </si>
  <si>
    <t>释放范围</t>
  </si>
  <si>
    <t>控制区</t>
  </si>
  <si>
    <t>技艺名称</t>
  </si>
  <si>
    <t>排头兵</t>
  </si>
  <si>
    <t>天赋效果</t>
  </si>
  <si>
    <r>
      <rPr>
        <sz val="14"/>
        <color rgb="FF0070C0"/>
        <rFont val="微软雅黑"/>
        <charset val="134"/>
      </rPr>
      <t xml:space="preserve">允许尖兵使用【警戒】
</t>
    </r>
    <r>
      <rPr>
        <sz val="14"/>
        <color rgb="FFC00000"/>
        <rFont val="微软雅黑"/>
        <charset val="134"/>
      </rPr>
      <t>尖兵在自身回合外进行的攻击无法被抵消，并且获得骰面升级。</t>
    </r>
  </si>
  <si>
    <t>资源消耗</t>
  </si>
  <si>
    <t>生效目标</t>
  </si>
  <si>
    <t>单个单位</t>
  </si>
  <si>
    <t>任意个单位</t>
  </si>
  <si>
    <t>被动技艺效果</t>
  </si>
  <si>
    <t>通过移动预备获得的移动位+1
战斗开始时，所有友方单位获得2个移动位，尖兵本人额外获得2个移动位</t>
  </si>
  <si>
    <t>分支
特性</t>
  </si>
  <si>
    <r>
      <rPr>
        <b/>
        <sz val="10"/>
        <color rgb="FFD9D9D9"/>
        <rFont val="微软雅黑"/>
        <charset val="134"/>
      </rPr>
      <t>穿戴</t>
    </r>
    <r>
      <rPr>
        <b/>
        <u/>
        <sz val="10"/>
        <color rgb="FFFFFFFF"/>
        <rFont val="微软雅黑"/>
        <charset val="134"/>
      </rPr>
      <t>中甲</t>
    </r>
    <r>
      <rPr>
        <b/>
        <sz val="10"/>
        <color rgb="FFD9D9D9"/>
        <rFont val="微软雅黑"/>
        <charset val="134"/>
      </rPr>
      <t>，具有</t>
    </r>
    <r>
      <rPr>
        <b/>
        <u/>
        <sz val="10"/>
        <color rgb="FFFFFFFF"/>
        <rFont val="微软雅黑"/>
        <charset val="134"/>
      </rPr>
      <t>中生命值</t>
    </r>
    <r>
      <rPr>
        <b/>
        <sz val="10"/>
        <color rgb="FFD9D9D9"/>
        <rFont val="微软雅黑"/>
        <charset val="134"/>
      </rPr>
      <t xml:space="preserve">
擅长打断，控制关键敌人同时辅助友方角色的承伤职业。</t>
    </r>
  </si>
  <si>
    <t>技艺效果</t>
  </si>
  <si>
    <r>
      <rPr>
        <sz val="14"/>
        <color rgb="FF843C0B"/>
        <rFont val="微软雅黑"/>
        <charset val="134"/>
      </rPr>
      <t>攻击一次，
对目标施加【标记】</t>
    </r>
    <r>
      <rPr>
        <sz val="14"/>
        <color rgb="FF000000"/>
        <rFont val="微软雅黑"/>
        <charset val="134"/>
      </rPr>
      <t>与</t>
    </r>
    <r>
      <rPr>
        <sz val="14"/>
        <color rgb="FF7030A0"/>
        <rFont val="微软雅黑"/>
        <charset val="134"/>
      </rPr>
      <t>【破绽】</t>
    </r>
  </si>
  <si>
    <r>
      <rPr>
        <sz val="12"/>
        <color rgb="FF000000"/>
        <rFont val="微软雅黑"/>
        <charset val="134"/>
      </rPr>
      <t>仅作为反应动作，当尖兵的控制区内有单位即将攻击尖兵的控制区之外的目标时对该单位释放。</t>
    </r>
    <r>
      <rPr>
        <sz val="12"/>
        <color rgb="FFC00000"/>
        <rFont val="微软雅黑"/>
        <charset val="134"/>
      </rPr>
      <t>攻击一次</t>
    </r>
    <r>
      <rPr>
        <sz val="12"/>
        <color rgb="FF843C0B"/>
        <rFont val="微软雅黑"/>
        <charset val="134"/>
      </rPr>
      <t xml:space="preserve">，命中后，立即结束该单位的回合。
</t>
    </r>
  </si>
  <si>
    <t>对目标施加【被嘲讽】
自身获得【嘲讽】
持续至尖兵下回合开始。</t>
  </si>
  <si>
    <r>
      <rPr>
        <sz val="12"/>
        <color rgb="FF843C0B"/>
        <rFont val="微软雅黑"/>
        <charset val="134"/>
      </rPr>
      <t>各轻击一次所有目标，</t>
    </r>
    <r>
      <rPr>
        <sz val="12"/>
        <color rgb="FF843E0B"/>
        <rFont val="微软雅黑"/>
        <charset val="134"/>
      </rPr>
      <t>施加【脆弱6】与</t>
    </r>
    <r>
      <rPr>
        <sz val="12"/>
        <color rgb="FF7030A0"/>
        <rFont val="微软雅黑"/>
        <charset val="134"/>
      </rPr>
      <t>【破绽】</t>
    </r>
    <r>
      <rPr>
        <sz val="12"/>
        <color rgb="FF843E0B"/>
        <rFont val="微软雅黑"/>
        <charset val="134"/>
      </rPr>
      <t>。（每进入一个新的精英化阶段，【脆弱】的数值增加+3）</t>
    </r>
  </si>
  <si>
    <t>武器
类型</t>
  </si>
  <si>
    <r>
      <rPr>
        <b/>
        <sz val="10"/>
        <color rgb="FFD9D9D9"/>
        <rFont val="微软雅黑"/>
        <charset val="134"/>
      </rPr>
      <t>伤害骰面为</t>
    </r>
    <r>
      <rPr>
        <b/>
        <u/>
        <sz val="10"/>
        <color rgb="FFFFFFFF"/>
        <rFont val="微软雅黑"/>
        <charset val="134"/>
      </rPr>
      <t>D4</t>
    </r>
    <r>
      <rPr>
        <b/>
        <sz val="10"/>
        <color rgb="FFD9D9D9"/>
        <rFont val="微软雅黑"/>
        <charset val="134"/>
      </rPr>
      <t>的</t>
    </r>
    <r>
      <rPr>
        <b/>
        <u/>
        <sz val="10"/>
        <color rgb="FFFFFFFF"/>
        <rFont val="微软雅黑"/>
        <charset val="134"/>
      </rPr>
      <t>近战物理</t>
    </r>
    <r>
      <rPr>
        <b/>
        <sz val="10"/>
        <color rgb="FFD9D9D9"/>
        <rFont val="微软雅黑"/>
        <charset val="134"/>
      </rPr>
      <t>武器
拥有</t>
    </r>
    <r>
      <rPr>
        <b/>
        <u/>
        <sz val="10"/>
        <color rgb="FFD9D9D9"/>
        <rFont val="微软雅黑"/>
        <charset val="134"/>
      </rPr>
      <t>防御技能</t>
    </r>
    <r>
      <rPr>
        <b/>
        <sz val="10"/>
        <color rgb="FFD9D9D9"/>
        <rFont val="微软雅黑"/>
        <charset val="134"/>
      </rPr>
      <t>，并且额外</t>
    </r>
    <r>
      <rPr>
        <b/>
        <u/>
        <sz val="10"/>
        <color rgb="FFD9D9D9"/>
        <rFont val="微软雅黑"/>
        <charset val="134"/>
      </rPr>
      <t>获得等同于防御技能值的物理抗性与法术抗性</t>
    </r>
    <r>
      <rPr>
        <b/>
        <sz val="10"/>
        <color rgb="FFD9D9D9"/>
        <rFont val="微软雅黑"/>
        <charset val="134"/>
      </rPr>
      <t>。
通常是各种灵活的单手武器，从刀剑到斧锤兼有。
使用者往往利用另一只手持握盾牌或调整平衡来抵御攻击，具有灵活的防御性能。</t>
    </r>
  </si>
  <si>
    <t>精英化阶段一</t>
  </si>
  <si>
    <t>精一天赋</t>
  </si>
  <si>
    <t>摔绊</t>
  </si>
  <si>
    <t>肩撞</t>
  </si>
  <si>
    <t>华舞</t>
  </si>
  <si>
    <t>指挥官强袭</t>
  </si>
  <si>
    <t>精英化一阶段 被动技艺</t>
  </si>
  <si>
    <t>摘星手</t>
  </si>
  <si>
    <t>控制区范围</t>
  </si>
  <si>
    <t>攻击范围</t>
  </si>
  <si>
    <t>自身</t>
  </si>
  <si>
    <t>前锋</t>
  </si>
  <si>
    <t>尖兵的完全闪避与完全招架可对任何弹道经过了自身控制区的远程攻击生效。</t>
  </si>
  <si>
    <t>尖兵在自身回合外的攻击命中后，会对其施加【破绽】</t>
  </si>
  <si>
    <t>SP
回复</t>
  </si>
  <si>
    <t>你的回合结束时，获得2SP。
之后可以选择自身的最多1sp转移给另一个视野内的友方单位。每进入一个新的精英化阶段，额外获得1SP且转移上限+1</t>
  </si>
  <si>
    <r>
      <rPr>
        <sz val="14"/>
        <color rgb="FF843E0B"/>
        <rFont val="微软雅黑"/>
        <charset val="134"/>
      </rPr>
      <t>轻击一次，施加【眩晕】与</t>
    </r>
    <r>
      <rPr>
        <sz val="14"/>
        <color rgb="FF7030A0"/>
        <rFont val="微软雅黑"/>
        <charset val="134"/>
      </rPr>
      <t>【破绽】</t>
    </r>
  </si>
  <si>
    <r>
      <rPr>
        <sz val="14"/>
        <color rgb="FF843C0B"/>
        <rFont val="微软雅黑"/>
        <charset val="134"/>
      </rPr>
      <t>轻击一次，施加【推击3+X】
X=尖兵自身的重量等级
若发生撞击，还会施加</t>
    </r>
    <r>
      <rPr>
        <sz val="14"/>
        <color rgb="FF7030A0"/>
        <rFont val="微软雅黑"/>
        <charset val="134"/>
      </rPr>
      <t>【破绽】</t>
    </r>
  </si>
  <si>
    <t>尖兵在回合外消耗的行动会立刻返还，持续至尖兵下回合开始。</t>
  </si>
  <si>
    <r>
      <rPr>
        <sz val="12"/>
        <color rgb="FFC00000"/>
        <rFont val="微软雅黑"/>
        <charset val="134"/>
      </rPr>
      <t>攻击一次</t>
    </r>
    <r>
      <rPr>
        <sz val="12"/>
        <color rgb="FF843E0B"/>
        <rFont val="微软雅黑"/>
        <charset val="134"/>
      </rPr>
      <t>，施加</t>
    </r>
    <r>
      <rPr>
        <sz val="12"/>
        <color rgb="FF7030A0"/>
        <rFont val="微软雅黑"/>
        <charset val="134"/>
      </rPr>
      <t>【破绽】</t>
    </r>
    <r>
      <rPr>
        <sz val="12"/>
        <color rgb="FF843E0B"/>
        <rFont val="微软雅黑"/>
        <charset val="134"/>
      </rPr>
      <t xml:space="preserve">和【标记】
</t>
    </r>
    <r>
      <rPr>
        <sz val="12"/>
        <color rgb="FF0070C0"/>
        <rFont val="微软雅黑"/>
        <charset val="134"/>
      </rPr>
      <t>令一个视野范围内，能对该目标进行攻击的友方单位立刻对该单位进行一次攻击或释放攻击技艺，免除该次攻击的行动消耗</t>
    </r>
  </si>
  <si>
    <t>精英化阶段二</t>
  </si>
  <si>
    <t>精二天赋</t>
  </si>
  <si>
    <t>肘击</t>
  </si>
  <si>
    <t>屹立</t>
  </si>
  <si>
    <t>大步驰援</t>
  </si>
  <si>
    <t>冲锋号令</t>
  </si>
  <si>
    <t>精英化二阶段 被动技艺</t>
  </si>
  <si>
    <t>攻
击
范
围</t>
  </si>
  <si>
    <t>奉还</t>
  </si>
  <si>
    <t>控制区内
角色侧面</t>
  </si>
  <si>
    <t>全图</t>
  </si>
  <si>
    <t>视野范围</t>
  </si>
  <si>
    <t>视野内</t>
  </si>
  <si>
    <t>百战成兵</t>
  </si>
  <si>
    <t>尖兵的完全闪避与完全招架仅消耗快速行动。若尖兵成功抵消了一次攻击，则可立刻对攻击源发起一次反击。
（对于远程攻击来说是将弹体弹回给攻击者，视为远程攻击）</t>
  </si>
  <si>
    <t>友方单位</t>
  </si>
  <si>
    <t>至多四个
友方单位
包括自身</t>
  </si>
  <si>
    <t>尖兵在每个轮次开始时获取一个额外的快速行动。</t>
  </si>
  <si>
    <r>
      <rPr>
        <sz val="14"/>
        <color rgb="FFC00000"/>
        <rFont val="微软雅黑"/>
        <charset val="134"/>
      </rPr>
      <t>攻击一次，骰面降级</t>
    </r>
    <r>
      <rPr>
        <sz val="14"/>
        <color rgb="FF843C0B"/>
        <rFont val="微软雅黑"/>
        <charset val="134"/>
      </rPr>
      <t>，施加</t>
    </r>
    <r>
      <rPr>
        <sz val="14"/>
        <color rgb="FF7030A0"/>
        <rFont val="微软雅黑"/>
        <charset val="134"/>
      </rPr>
      <t>【破绽】</t>
    </r>
    <r>
      <rPr>
        <sz val="14"/>
        <color rgb="FF843C0B"/>
        <rFont val="微软雅黑"/>
        <charset val="134"/>
      </rPr>
      <t xml:space="preserve">
可作为反应动作，在有单位进入该技艺的释放范围时释放。</t>
    </r>
  </si>
  <si>
    <r>
      <rPr>
        <sz val="12"/>
        <color rgb="FF843E0B"/>
        <rFont val="微软雅黑"/>
        <charset val="134"/>
      </rPr>
      <t>对目标施加【被嘲讽】。</t>
    </r>
    <r>
      <rPr>
        <sz val="12"/>
        <color rgb="FFC00000"/>
        <rFont val="微软雅黑"/>
        <charset val="134"/>
      </rPr>
      <t xml:space="preserve">
</t>
    </r>
    <r>
      <rPr>
        <sz val="12"/>
        <color rgb="FF3C5F21"/>
        <rFont val="微软雅黑"/>
        <charset val="134"/>
      </rPr>
      <t>对自身施加【嘲讽】与持续至本轮结束的【魅影】。</t>
    </r>
  </si>
  <si>
    <t>移动到目标周围中心8范围内的某战术格中，对其施加【屏障10】
至多以此法移动10战术格。</t>
  </si>
  <si>
    <t>对所有目标施加【迅捷】，并且在下个战斗轮开始时，获得一个额外的主要行动。</t>
  </si>
  <si>
    <t>模组阶段</t>
  </si>
  <si>
    <t>模组阶段 被动技艺</t>
  </si>
  <si>
    <t>刀剑如雨</t>
  </si>
  <si>
    <t>烟霾战争</t>
  </si>
  <si>
    <t>王车易位</t>
  </si>
  <si>
    <t>全盛姿态</t>
  </si>
  <si>
    <t>物抗
算法</t>
  </si>
  <si>
    <t>通识技能×3+3</t>
  </si>
  <si>
    <t>斥候</t>
  </si>
  <si>
    <t>格物致知</t>
  </si>
  <si>
    <t>法抗
算法</t>
  </si>
  <si>
    <t>通识技能×2.5+3</t>
  </si>
  <si>
    <t>战斗开始时，选择一个友方单位，该友方单位进行远程攻击时，可以选取尖兵控制区之内的目标。</t>
  </si>
  <si>
    <t>单个友方单位</t>
  </si>
  <si>
    <t>尖兵的攻击命中后，可获取受击的具体HP/SP、抗性数据、潜在弱点与意图。
若无法获取或已经获取了上述信息，则改为施加【标记】</t>
  </si>
  <si>
    <t>生命值算法</t>
  </si>
  <si>
    <t>HP上限=生理耐受×3+（生理耐受/8+2）×升级次数</t>
  </si>
  <si>
    <r>
      <rPr>
        <sz val="14"/>
        <color rgb="FFC00000"/>
        <rFont val="微软雅黑"/>
        <charset val="134"/>
      </rPr>
      <t>攻击一次，</t>
    </r>
    <r>
      <rPr>
        <sz val="14"/>
        <color theme="5" tint="-0.5"/>
        <rFont val="微软雅黑"/>
        <charset val="134"/>
      </rPr>
      <t>施加【眩晕】</t>
    </r>
  </si>
  <si>
    <t>对所有目标施加【魅影】。</t>
  </si>
  <si>
    <t>与目标交换位置，此移动视为突袭
对自身与目标都施加【护盾1】</t>
  </si>
  <si>
    <t>将尖兵的武器改为D6武器，防御技能不再提供抗性，而是为攻击检定结果提供等量加值。尖兵的轻击正常造成伤害，允许尖兵触发
【破绽】，并且触发【破绽】的攻击无视目标50%（至多30）的物理抗性。</t>
  </si>
  <si>
    <t>CASTER</t>
  </si>
  <si>
    <t>撰写人：安修奥克苏恩</t>
  </si>
  <si>
    <t>冲刺</t>
  </si>
  <si>
    <t>碎甲</t>
  </si>
  <si>
    <t>斩杀</t>
  </si>
  <si>
    <t>箭步</t>
  </si>
  <si>
    <t>冲锋手</t>
  </si>
  <si>
    <t>穿刺</t>
  </si>
  <si>
    <t>足力健</t>
  </si>
  <si>
    <t>你每移动一个战术格，在本回合中你的下一次攻击施加直到本轮结束的【物理抗性-1】（最多-3）。
每进入一个新的精英化阶段，上限+3，每个移动位提供的降低数值+1。</t>
  </si>
  <si>
    <t>生效
目标</t>
  </si>
  <si>
    <t>每轮有三次可以消耗1个移动位，位移到以自身为中心的某个九宫格中。</t>
  </si>
  <si>
    <r>
      <rPr>
        <b/>
        <sz val="10"/>
        <color rgb="FFD9D9D9"/>
        <rFont val="微软雅黑"/>
        <charset val="134"/>
      </rPr>
      <t>穿戴</t>
    </r>
    <r>
      <rPr>
        <b/>
        <u/>
        <sz val="10"/>
        <color rgb="FFFFFFFF"/>
        <rFont val="微软雅黑"/>
        <charset val="134"/>
      </rPr>
      <t>中甲</t>
    </r>
    <r>
      <rPr>
        <b/>
        <sz val="10"/>
        <color rgb="FFD9D9D9"/>
        <rFont val="微软雅黑"/>
        <charset val="134"/>
      </rPr>
      <t>，具有</t>
    </r>
    <r>
      <rPr>
        <b/>
        <u/>
        <sz val="10"/>
        <color rgb="FFFFFFFF"/>
        <rFont val="微软雅黑"/>
        <charset val="134"/>
      </rPr>
      <t>中生命值</t>
    </r>
    <r>
      <rPr>
        <b/>
        <sz val="10"/>
        <color rgb="FFD9D9D9"/>
        <rFont val="微软雅黑"/>
        <charset val="134"/>
      </rPr>
      <t xml:space="preserve">
擅长通过快速移动对敌人造成大量伤害的近战输出职业。</t>
    </r>
  </si>
  <si>
    <r>
      <rPr>
        <sz val="10"/>
        <color rgb="FFC00000"/>
        <rFont val="微软雅黑"/>
        <charset val="134"/>
      </rPr>
      <t>攻击一次，本回合你每移动过一个战术格，造成的伤害+2。（最多+6，每进入一个新的阶段，叠加上限+6，每次叠加伤害+1）</t>
    </r>
    <r>
      <rPr>
        <sz val="10"/>
        <color rgb="FF861322"/>
        <rFont val="微软雅黑"/>
        <charset val="134"/>
      </rPr>
      <t xml:space="preserve">
</t>
    </r>
    <r>
      <rPr>
        <sz val="10"/>
        <color rgb="FF0070C0"/>
        <rFont val="微软雅黑"/>
        <charset val="134"/>
      </rPr>
      <t>每场战斗首次释放时，先移动3个战术格。</t>
    </r>
  </si>
  <si>
    <t>施加直到本轮结束的【脆弱4】（每进入一个新的阶段，【脆弱】数值+2）。每轮一次，在移动中经过一个单位时可以立刻对其无消耗地施放。</t>
  </si>
  <si>
    <r>
      <rPr>
        <sz val="10"/>
        <color rgb="FFC00000"/>
        <rFont val="微软雅黑"/>
        <charset val="134"/>
      </rPr>
      <t>攻击一次，本次攻击造成的伤害+4。对HP低于上限50%的单位改为+6。（每进入一个新的阶段，伤害加成+2，对半血伤害+3）</t>
    </r>
    <r>
      <rPr>
        <sz val="10"/>
        <color rgb="FF3C5F21"/>
        <rFont val="微软雅黑"/>
        <charset val="134"/>
      </rPr>
      <t xml:space="preserve">
</t>
    </r>
    <r>
      <rPr>
        <sz val="10"/>
        <color rgb="FF0070C0"/>
        <rFont val="微软雅黑"/>
        <charset val="134"/>
      </rPr>
      <t>如果击倒了目标，返还主要行动。</t>
    </r>
  </si>
  <si>
    <t>突袭两个战术格。</t>
  </si>
  <si>
    <r>
      <rPr>
        <b/>
        <sz val="10"/>
        <color theme="0" tint="-0.15"/>
        <rFont val="微软雅黑"/>
        <charset val="134"/>
      </rPr>
      <t>伤害骰面为</t>
    </r>
    <r>
      <rPr>
        <b/>
        <u/>
        <sz val="10"/>
        <color theme="0"/>
        <rFont val="微软雅黑"/>
        <charset val="134"/>
      </rPr>
      <t>D6</t>
    </r>
    <r>
      <rPr>
        <b/>
        <sz val="10"/>
        <color theme="0" tint="-0.15"/>
        <rFont val="微软雅黑"/>
        <charset val="134"/>
      </rPr>
      <t>的</t>
    </r>
    <r>
      <rPr>
        <b/>
        <u/>
        <sz val="10"/>
        <color theme="0"/>
        <rFont val="微软雅黑"/>
        <charset val="134"/>
      </rPr>
      <t>近战物理</t>
    </r>
    <r>
      <rPr>
        <b/>
        <sz val="10"/>
        <color theme="0" tint="-0.15"/>
        <rFont val="微软雅黑"/>
        <charset val="134"/>
      </rPr>
      <t>武器
通常是各类长柄武器，如长枪和戟。
能够在中等距离发动灵活的突刺，将移动与伤害合为一体。</t>
    </r>
  </si>
  <si>
    <t>轰鸣</t>
  </si>
  <si>
    <t>反制</t>
  </si>
  <si>
    <t>预备</t>
  </si>
  <si>
    <t>起步</t>
  </si>
  <si>
    <t>惯性力</t>
  </si>
  <si>
    <t>加速保护</t>
  </si>
  <si>
    <t>你在回合开始时不会清空移动位，而是保留最多3个。</t>
  </si>
  <si>
    <t>你每移动一个战术格，对自身施加【屏障1】，如果已经拥有
【屏障】，改为使其+1。</t>
  </si>
  <si>
    <t>你的回合结束时，获得1sp。如果你本回合主动移动过至少3个战术格，改为获得4SP。
每进入一个新的阶段，获得的SP+1</t>
  </si>
  <si>
    <t>攻击一次，本次攻击骰面升级。如果本回合你移动了至少3个战术格，则有一次，在移动中经过一个单位时可以立刻对其无消耗地施放。</t>
  </si>
  <si>
    <r>
      <rPr>
        <sz val="14"/>
        <color rgb="FF0070C0"/>
        <rFont val="微软雅黑"/>
        <charset val="134"/>
      </rPr>
      <t>移动3个战术格，</t>
    </r>
    <r>
      <rPr>
        <sz val="14"/>
        <color rgb="FFC00000"/>
        <rFont val="微软雅黑"/>
        <charset val="134"/>
      </rPr>
      <t>攻击一次</t>
    </r>
    <r>
      <rPr>
        <sz val="14"/>
        <color rgb="FF861322"/>
        <rFont val="微软雅黑"/>
        <charset val="134"/>
      </rPr>
      <t xml:space="preserve">
</t>
    </r>
    <r>
      <rPr>
        <sz val="14"/>
        <color rgb="FF843E0B"/>
        <rFont val="微软雅黑"/>
        <charset val="134"/>
      </rPr>
      <t>如果你本回合至少移动过6个战术格，对目标施加【眩晕】</t>
    </r>
    <r>
      <rPr>
        <sz val="14"/>
        <color rgb="FF861322"/>
        <rFont val="微软雅黑"/>
        <charset val="134"/>
      </rPr>
      <t>。</t>
    </r>
  </si>
  <si>
    <t>自身的下一个回合开始时，移动预备两次。自身施加下一次攻击造成的伤害+X，X等于当回合内已消耗的移动位。</t>
  </si>
  <si>
    <t>移动预备三次。</t>
  </si>
  <si>
    <t>七进七出</t>
  </si>
  <si>
    <t>剐蹭</t>
  </si>
  <si>
    <t>枪出如龙</t>
  </si>
  <si>
    <t>神速力</t>
  </si>
  <si>
    <t>破阵</t>
  </si>
  <si>
    <t>突击战术</t>
  </si>
  <si>
    <t>你每场战斗的首个回合开始时，获得6个移动位。</t>
  </si>
  <si>
    <t>你在首个回合的所有主动移动视为【突袭】。</t>
  </si>
  <si>
    <r>
      <rPr>
        <sz val="14"/>
        <color rgb="FFC00000"/>
        <rFont val="微软雅黑"/>
        <charset val="134"/>
      </rPr>
      <t>攻击八次，</t>
    </r>
    <r>
      <rPr>
        <sz val="14"/>
        <color rgb="FF0070C0"/>
        <rFont val="微软雅黑"/>
        <charset val="134"/>
      </rPr>
      <t>如果攻击期间击倒了目标，立刻【突袭】2战术格后</t>
    </r>
    <r>
      <rPr>
        <sz val="14"/>
        <color rgb="FFC00000"/>
        <rFont val="微软雅黑"/>
        <charset val="134"/>
      </rPr>
      <t>继续剩余攻击。</t>
    </r>
  </si>
  <si>
    <t>攻击一次。每轮一次，在移动中经过一个单位时可以立刻对其无消耗地施放。</t>
  </si>
  <si>
    <r>
      <rPr>
        <sz val="14"/>
        <color rgb="FF0070C0"/>
        <rFont val="微软雅黑"/>
        <charset val="134"/>
      </rPr>
      <t>【突袭】8战术格</t>
    </r>
    <r>
      <rPr>
        <sz val="14"/>
        <color rgb="FF00B0F0"/>
        <rFont val="微软雅黑"/>
        <charset val="134"/>
      </rPr>
      <t>，</t>
    </r>
    <r>
      <rPr>
        <sz val="14"/>
        <color rgb="FFC00000"/>
        <rFont val="微软雅黑"/>
        <charset val="134"/>
      </rPr>
      <t>在移动中接触单位时，可无消耗的攻击之</t>
    </r>
    <r>
      <rPr>
        <sz val="14"/>
        <color rgb="FF3C5F21"/>
        <rFont val="微软雅黑"/>
        <charset val="134"/>
      </rPr>
      <t>。</t>
    </r>
    <r>
      <rPr>
        <sz val="14"/>
        <color rgb="FF0070C0"/>
        <rFont val="微软雅黑"/>
        <charset val="134"/>
      </rPr>
      <t>每因此离开一个单位的控制区，获得1SP</t>
    </r>
    <r>
      <rPr>
        <sz val="14"/>
        <color rgb="FF3C5F21"/>
        <rFont val="微软雅黑"/>
        <charset val="134"/>
      </rPr>
      <t>。</t>
    </r>
  </si>
  <si>
    <t>每轮限一次，释放【完全闪避】。
可作为反应动作，在即将遭到攻击时释放。如果你在自身回合累计移动了9个战术格，则该技艺直到本轮结束没有使用次数限制。</t>
  </si>
  <si>
    <t>被动技艺</t>
  </si>
  <si>
    <t>火车头</t>
  </si>
  <si>
    <t>寒芒先至</t>
  </si>
  <si>
    <t>超爆发</t>
  </si>
  <si>
    <t>闪点事件</t>
  </si>
  <si>
    <t>马力</t>
  </si>
  <si>
    <t>腾跃</t>
  </si>
  <si>
    <t>马力爆发</t>
  </si>
  <si>
    <t>你每次闪避成功后，你在下个自己回合开始时获得2个移动位。自身回合结束时，对自身施加
【魅影】</t>
  </si>
  <si>
    <t>每轮两次，你可以使用1个移动位来位移2格。</t>
  </si>
  <si>
    <t>生命值
算法</t>
  </si>
  <si>
    <t>【引导】至自身下个回合开始。
【引导】完成时，【突袭】至多6格并对经过的所有敌人进行一次攻击。</t>
  </si>
  <si>
    <r>
      <rPr>
        <sz val="14"/>
        <color rgb="FFC00000"/>
        <rFont val="微软雅黑"/>
        <charset val="134"/>
      </rPr>
      <t>攻击一次。本次攻击【暴击】</t>
    </r>
    <r>
      <rPr>
        <sz val="14"/>
        <color rgb="FF000000"/>
        <rFont val="微软雅黑"/>
        <charset val="134"/>
      </rPr>
      <t xml:space="preserve">。
</t>
    </r>
    <r>
      <rPr>
        <sz val="14"/>
        <color rgb="FF0070C0"/>
        <rFont val="微软雅黑"/>
        <charset val="134"/>
      </rPr>
      <t>如果击倒目标，返还耐力和sp消耗</t>
    </r>
    <r>
      <rPr>
        <sz val="14"/>
        <color rgb="FF000000"/>
        <rFont val="微软雅黑"/>
        <charset val="134"/>
      </rPr>
      <t>。</t>
    </r>
  </si>
  <si>
    <t>移动预备获得的移动位+3，持续至战斗结束。</t>
  </si>
  <si>
    <t>如果你本回合移动了至少12个战术格，本回合结束时再行动一回合。</t>
  </si>
  <si>
    <t>联合狩猎</t>
  </si>
  <si>
    <t>投送支援</t>
  </si>
  <si>
    <t>伤害引导</t>
  </si>
  <si>
    <t>战术家</t>
  </si>
  <si>
    <t>战术点</t>
  </si>
  <si>
    <t>视野</t>
  </si>
  <si>
    <t>战术管制</t>
  </si>
  <si>
    <r>
      <rPr>
        <sz val="12"/>
        <rFont val="微软雅黑"/>
        <charset val="134"/>
      </rPr>
      <t>选择一个战术类的非通识技能作为“战术技能”，这是</t>
    </r>
    <r>
      <rPr>
        <sz val="12"/>
        <color rgb="FF7030A0"/>
        <rFont val="微软雅黑"/>
        <charset val="134"/>
      </rPr>
      <t>【战术点】</t>
    </r>
    <r>
      <rPr>
        <sz val="12"/>
        <rFont val="微软雅黑"/>
        <charset val="134"/>
      </rPr>
      <t xml:space="preserve">进行所有检定的技能。战斗开始时，在正前方一格召唤战术点
</t>
    </r>
    <r>
      <rPr>
        <sz val="12"/>
        <color rgb="FF7030A0"/>
        <rFont val="微软雅黑"/>
        <charset val="134"/>
      </rPr>
      <t>【战术点】</t>
    </r>
    <r>
      <rPr>
        <sz val="12"/>
        <color rgb="FF0070C0"/>
        <rFont val="微软雅黑"/>
        <charset val="134"/>
      </rPr>
      <t>的攻击范围也被视为战术家的攻击范围。</t>
    </r>
  </si>
  <si>
    <t>友方控制区内的
单个单位</t>
  </si>
  <si>
    <t>两个单位</t>
  </si>
  <si>
    <t>控制区内存在敌方单位的目标</t>
  </si>
  <si>
    <t>战术家的回合结束时，
能无消耗地释放【警戒】</t>
  </si>
  <si>
    <r>
      <rPr>
        <b/>
        <sz val="10"/>
        <color rgb="FFD9D9D9"/>
        <rFont val="微软雅黑"/>
        <charset val="134"/>
      </rPr>
      <t>穿戴</t>
    </r>
    <r>
      <rPr>
        <b/>
        <u/>
        <sz val="10"/>
        <color rgb="FFFFFFFF"/>
        <rFont val="微软雅黑"/>
        <charset val="134"/>
      </rPr>
      <t>轻甲</t>
    </r>
    <r>
      <rPr>
        <b/>
        <sz val="10"/>
        <color rgb="FFD9D9D9"/>
        <rFont val="微软雅黑"/>
        <charset val="134"/>
      </rPr>
      <t>，具有</t>
    </r>
    <r>
      <rPr>
        <b/>
        <u/>
        <sz val="10"/>
        <color rgb="FFFFFFFF"/>
        <rFont val="微软雅黑"/>
        <charset val="134"/>
      </rPr>
      <t>中生命值</t>
    </r>
    <r>
      <rPr>
        <b/>
        <sz val="10"/>
        <color rgb="FFD9D9D9"/>
        <rFont val="微软雅黑"/>
        <charset val="134"/>
      </rPr>
      <t xml:space="preserve">
擅长在范围内制造召唤物承受伤害，攻破阵线的职业。</t>
    </r>
  </si>
  <si>
    <r>
      <rPr>
        <sz val="12"/>
        <color rgb="FFC00000"/>
        <rFont val="微软雅黑"/>
        <charset val="134"/>
      </rPr>
      <t>战术家和提供控制区的单位各攻击该目标一次。</t>
    </r>
    <r>
      <rPr>
        <sz val="12"/>
        <color rgb="FF0070C0"/>
        <rFont val="微软雅黑"/>
        <charset val="134"/>
      </rPr>
      <t>若控制区的提供者是</t>
    </r>
    <r>
      <rPr>
        <sz val="12"/>
        <color rgb="FF7030A0"/>
        <rFont val="微软雅黑"/>
        <charset val="134"/>
      </rPr>
      <t>【战术点】</t>
    </r>
    <r>
      <rPr>
        <sz val="12"/>
        <color rgb="FF0070C0"/>
        <rFont val="微软雅黑"/>
        <charset val="134"/>
      </rPr>
      <t>，SP消耗-2</t>
    </r>
  </si>
  <si>
    <r>
      <rPr>
        <sz val="12"/>
        <color theme="7" tint="-0.5"/>
        <rFont val="微软雅黑"/>
        <charset val="134"/>
      </rPr>
      <t xml:space="preserve">进行一次“战术技能”检定，使用辅助骰，为目标恢复等同于检定结果的生命值。
</t>
    </r>
    <r>
      <rPr>
        <sz val="12"/>
        <color rgb="FF0070C0"/>
        <rFont val="微软雅黑"/>
        <charset val="134"/>
      </rPr>
      <t>若该目标是</t>
    </r>
    <r>
      <rPr>
        <sz val="12"/>
        <color rgb="FF7030A0"/>
        <rFont val="微软雅黑"/>
        <charset val="134"/>
      </rPr>
      <t>【战术点】</t>
    </r>
    <r>
      <rPr>
        <sz val="12"/>
        <color rgb="FF0070C0"/>
        <rFont val="微软雅黑"/>
        <charset val="134"/>
      </rPr>
      <t>，SP消耗-2</t>
    </r>
  </si>
  <si>
    <r>
      <rPr>
        <sz val="12"/>
        <rFont val="微软雅黑"/>
        <charset val="134"/>
      </rPr>
      <t>先后选取两个目标，</t>
    </r>
    <r>
      <rPr>
        <sz val="12"/>
        <color rgb="FF0070C0"/>
        <rFont val="微软雅黑"/>
        <charset val="134"/>
      </rPr>
      <t>对前者施加【嘲讽】，</t>
    </r>
    <r>
      <rPr>
        <sz val="12"/>
        <color theme="5" tint="-0.5"/>
        <rFont val="微软雅黑"/>
        <charset val="134"/>
      </rPr>
      <t>轻击后者一次，施加【被嘲讽】，</t>
    </r>
    <r>
      <rPr>
        <sz val="12"/>
        <color theme="1"/>
        <rFont val="微软雅黑"/>
        <charset val="134"/>
      </rPr>
      <t>持续至战术家的下回合开始。</t>
    </r>
  </si>
  <si>
    <r>
      <rPr>
        <sz val="12"/>
        <color rgb="FF0070C0"/>
        <rFont val="微软雅黑"/>
        <charset val="134"/>
      </rPr>
      <t>令</t>
    </r>
    <r>
      <rPr>
        <sz val="12"/>
        <color rgb="FF7030A0"/>
        <rFont val="微软雅黑"/>
        <charset val="134"/>
      </rPr>
      <t>【战术点】</t>
    </r>
    <r>
      <rPr>
        <sz val="12"/>
        <color rgb="FF0070C0"/>
        <rFont val="微软雅黑"/>
        <charset val="134"/>
      </rPr>
      <t>立即移动5个战术格，可移动至战术家的攻击范围外，</t>
    </r>
    <r>
      <rPr>
        <sz val="12"/>
        <color rgb="FFC00000"/>
        <rFont val="微软雅黑"/>
        <charset val="134"/>
      </rPr>
      <t>且在移动结束后，令</t>
    </r>
    <r>
      <rPr>
        <sz val="12"/>
        <color rgb="FF7030A0"/>
        <rFont val="微软雅黑"/>
        <charset val="134"/>
      </rPr>
      <t>【战术点】</t>
    </r>
    <r>
      <rPr>
        <sz val="12"/>
        <color rgb="FFC00000"/>
        <rFont val="微软雅黑"/>
        <charset val="134"/>
      </rPr>
      <t>和战术家对该目标各进行一次攻击。</t>
    </r>
  </si>
  <si>
    <r>
      <rPr>
        <b/>
        <sz val="10"/>
        <color rgb="FFD9D9D9"/>
        <rFont val="微软雅黑"/>
        <charset val="134"/>
      </rPr>
      <t>伤害骰面为</t>
    </r>
    <r>
      <rPr>
        <b/>
        <u/>
        <sz val="10"/>
        <color rgb="FFFFFFFF"/>
        <rFont val="微软雅黑"/>
        <charset val="134"/>
      </rPr>
      <t>D6</t>
    </r>
    <r>
      <rPr>
        <b/>
        <sz val="10"/>
        <color rgb="FFD9D9D9"/>
        <rFont val="微软雅黑"/>
        <charset val="134"/>
      </rPr>
      <t>的</t>
    </r>
    <r>
      <rPr>
        <u/>
        <sz val="10"/>
        <color rgb="FFFFFFFF"/>
        <rFont val="微软雅黑"/>
        <charset val="134"/>
      </rPr>
      <t>远程物理</t>
    </r>
    <r>
      <rPr>
        <b/>
        <sz val="10"/>
        <color rgb="FFD9D9D9"/>
        <rFont val="微软雅黑"/>
        <charset val="134"/>
      </rPr>
      <t>武器
通常是灵活轻量的远程武器，从飞刀到弩箭皆有。
使用者往往需要利用轻便武器带来的优势，指挥召唤物协同作战。</t>
    </r>
  </si>
  <si>
    <t>火力战线</t>
  </si>
  <si>
    <t>完全恢复</t>
  </si>
  <si>
    <t>阻断</t>
  </si>
  <si>
    <t>战术阻断</t>
  </si>
  <si>
    <t>再起</t>
  </si>
  <si>
    <t>【战术点】</t>
  </si>
  <si>
    <t>疾速追杀</t>
  </si>
  <si>
    <r>
      <rPr>
        <sz val="14"/>
        <color rgb="FF7030A0"/>
        <rFont val="微软雅黑"/>
        <charset val="134"/>
      </rPr>
      <t>【战术点】</t>
    </r>
    <r>
      <rPr>
        <sz val="14"/>
        <color theme="7" tint="-0.5"/>
        <rFont val="微软雅黑"/>
        <charset val="134"/>
      </rPr>
      <t>首次撤退至战术家的物品栏中时，会立刻将HP回复至上限。</t>
    </r>
  </si>
  <si>
    <t>友方单位阻挡打击时的目标</t>
  </si>
  <si>
    <t>正在移动
的目标</t>
  </si>
  <si>
    <r>
      <rPr>
        <sz val="14"/>
        <color rgb="FF7030A0"/>
        <rFont val="微软雅黑"/>
        <charset val="134"/>
      </rPr>
      <t>【战术点】</t>
    </r>
    <r>
      <rPr>
        <sz val="14"/>
        <color rgb="FFC00000"/>
        <rFont val="微软雅黑"/>
        <charset val="134"/>
      </rPr>
      <t>被击倒后，战术家的所有攻击检定骰面升级，持续至战术家回合结束一次。</t>
    </r>
  </si>
  <si>
    <t>你的回合结束时，获得1SP，每进入一个新的精英化阶段，额外获得1SP。
如果【战术点】处在战术家的攻击范围内，额外获得2SP。</t>
  </si>
  <si>
    <t>攻击一次。
仅能作为反应动作，在友方单位进行【阻挡打击】时释放</t>
  </si>
  <si>
    <r>
      <rPr>
        <sz val="14"/>
        <color theme="7" tint="-0.5"/>
        <rFont val="微软雅黑"/>
        <charset val="134"/>
      </rPr>
      <t>将</t>
    </r>
    <r>
      <rPr>
        <sz val="14"/>
        <color rgb="FF7030A0"/>
        <rFont val="微软雅黑"/>
        <charset val="134"/>
      </rPr>
      <t>【战术点】</t>
    </r>
    <r>
      <rPr>
        <sz val="14"/>
        <color theme="7" tint="-0.5"/>
        <rFont val="微软雅黑"/>
        <charset val="134"/>
      </rPr>
      <t>的HP恢复至上限</t>
    </r>
  </si>
  <si>
    <t>轻击一次，施加【束缚】。
无视【突袭】，可作为反应动作，在有单位移动时释放。</t>
  </si>
  <si>
    <r>
      <rPr>
        <sz val="12"/>
        <color rgb="FFC00000"/>
        <rFont val="微软雅黑"/>
        <charset val="134"/>
      </rPr>
      <t>轻击一次，对生效范围内的任意个单位</t>
    </r>
    <r>
      <rPr>
        <sz val="12"/>
        <color theme="5" tint="-0.5"/>
        <rFont val="微软雅黑"/>
        <charset val="134"/>
      </rPr>
      <t>施加【束缚】</t>
    </r>
  </si>
  <si>
    <t>掩护打击</t>
  </si>
  <si>
    <t>点位保护</t>
  </si>
  <si>
    <t>弱点显现</t>
  </si>
  <si>
    <t>战术家的尊严</t>
  </si>
  <si>
    <t>追击</t>
  </si>
  <si>
    <t>战术干扰</t>
  </si>
  <si>
    <r>
      <rPr>
        <sz val="14"/>
        <color rgb="FFC00000"/>
        <rFont val="微软雅黑"/>
        <charset val="134"/>
      </rPr>
      <t>战术家对</t>
    </r>
    <r>
      <rPr>
        <sz val="14"/>
        <color rgb="FF7030A0"/>
        <rFont val="微软雅黑"/>
        <charset val="134"/>
      </rPr>
      <t>【战术点】</t>
    </r>
    <r>
      <rPr>
        <sz val="14"/>
        <color rgb="FFC00000"/>
        <rFont val="微软雅黑"/>
        <charset val="134"/>
      </rPr>
      <t>攻击范围内的目标释放【普通攻击】或【警戒打击】时，</t>
    </r>
    <r>
      <rPr>
        <sz val="14"/>
        <color rgb="FF7030A0"/>
        <rFont val="微软雅黑"/>
        <charset val="134"/>
      </rPr>
      <t>【战术点】</t>
    </r>
    <r>
      <rPr>
        <sz val="14"/>
        <color rgb="FFC00000"/>
        <rFont val="微软雅黑"/>
        <charset val="134"/>
      </rPr>
      <t>也会进行一次攻击。</t>
    </r>
  </si>
  <si>
    <t>攻击的发起者</t>
  </si>
  <si>
    <t>单个目标</t>
  </si>
  <si>
    <r>
      <rPr>
        <sz val="14"/>
        <color rgb="FF7030A0"/>
        <rFont val="微软雅黑"/>
        <charset val="134"/>
      </rPr>
      <t>【战术点】</t>
    </r>
    <r>
      <rPr>
        <sz val="14"/>
        <color rgb="FF843E0B"/>
        <rFont val="微软雅黑"/>
        <charset val="134"/>
      </rPr>
      <t>攻击范围内的
敌方单位被视为具有【脆弱5】</t>
    </r>
  </si>
  <si>
    <t>攻击一次，该次攻击骰面降级。
仅能作为反应动作，在战术家攻击范围内的单位即将遭到攻击时，对攻击的发起者释放。</t>
  </si>
  <si>
    <r>
      <rPr>
        <sz val="12"/>
        <color theme="7" tint="-0.5"/>
        <rFont val="微软雅黑"/>
        <charset val="134"/>
      </rPr>
      <t>对目标施加【护盾1】，清除目标的一个状态。若目标是</t>
    </r>
    <r>
      <rPr>
        <sz val="12"/>
        <color rgb="FF7030A0"/>
        <rFont val="微软雅黑"/>
        <charset val="134"/>
      </rPr>
      <t>【战术点】</t>
    </r>
    <r>
      <rPr>
        <sz val="12"/>
        <color theme="7" tint="-0.5"/>
        <rFont val="微软雅黑"/>
        <charset val="134"/>
      </rPr>
      <t>，改为【护盾2】</t>
    </r>
  </si>
  <si>
    <t>轻击一次，施加【标记】</t>
  </si>
  <si>
    <r>
      <rPr>
        <sz val="12"/>
        <color rgb="FFC00000"/>
        <rFont val="微软雅黑"/>
        <charset val="134"/>
      </rPr>
      <t>攻击一次，</t>
    </r>
    <r>
      <rPr>
        <sz val="12"/>
        <color theme="5" tint="-0.5"/>
        <rFont val="微软雅黑"/>
        <charset val="134"/>
      </rPr>
      <t>施加【脆弱15】。</t>
    </r>
    <r>
      <rPr>
        <sz val="12"/>
        <color rgb="FFC00000"/>
        <rFont val="微软雅黑"/>
        <charset val="134"/>
      </rPr>
      <t xml:space="preserve">
</t>
    </r>
    <r>
      <rPr>
        <sz val="12"/>
        <color rgb="FF7030A0"/>
        <rFont val="微软雅黑"/>
        <charset val="134"/>
      </rPr>
      <t>【战术点】</t>
    </r>
    <r>
      <rPr>
        <sz val="12"/>
        <color rgb="FFC00000"/>
        <rFont val="微软雅黑"/>
        <charset val="134"/>
      </rPr>
      <t>攻击同一目标两次。</t>
    </r>
  </si>
  <si>
    <t>天涯海角</t>
  </si>
  <si>
    <t>重点目标</t>
  </si>
  <si>
    <t>粉碎撞击</t>
  </si>
  <si>
    <t>分则能成</t>
  </si>
  <si>
    <t>环境适应</t>
  </si>
  <si>
    <t>心意相通</t>
  </si>
  <si>
    <t>通识技能×2+3</t>
  </si>
  <si>
    <r>
      <rPr>
        <sz val="14"/>
        <color theme="0" tint="-0.5"/>
        <rFont val="微软雅黑"/>
        <charset val="134"/>
      </rPr>
      <t xml:space="preserve">战术家可携带并部署两个
</t>
    </r>
    <r>
      <rPr>
        <sz val="14"/>
        <color rgb="FF7030A0"/>
        <rFont val="微软雅黑"/>
        <charset val="134"/>
      </rPr>
      <t>【战术点】</t>
    </r>
    <r>
      <rPr>
        <sz val="14"/>
        <color theme="0" tint="-0.5"/>
        <rFont val="微软雅黑"/>
        <charset val="134"/>
      </rPr>
      <t>，但触发该效果时，由</t>
    </r>
    <r>
      <rPr>
        <sz val="14"/>
        <color rgb="FF7030A0"/>
        <rFont val="微软雅黑"/>
        <charset val="134"/>
      </rPr>
      <t>【战术点】</t>
    </r>
    <r>
      <rPr>
        <sz val="14"/>
        <color theme="0" tint="-0.5"/>
        <rFont val="微软雅黑"/>
        <charset val="134"/>
      </rPr>
      <t xml:space="preserve">进行的所有检定获得骰面降级。
技艺的效果会同时对所有
</t>
    </r>
    <r>
      <rPr>
        <sz val="14"/>
        <color rgb="FF7030A0"/>
        <rFont val="微软雅黑"/>
        <charset val="134"/>
      </rPr>
      <t>【战术点】</t>
    </r>
    <r>
      <rPr>
        <sz val="14"/>
        <color theme="0" tint="-0.5"/>
        <rFont val="微软雅黑"/>
        <charset val="134"/>
      </rPr>
      <t>触发。</t>
    </r>
  </si>
  <si>
    <t>回合结束时，
【战术点】恢复3点元素韧性。</t>
  </si>
  <si>
    <t>位于友方单位控制区内的一个目标</t>
  </si>
  <si>
    <r>
      <rPr>
        <sz val="12"/>
        <color rgb="FF0070C0"/>
        <rFont val="微软雅黑"/>
        <charset val="134"/>
      </rPr>
      <t>在战术家移动后，</t>
    </r>
    <r>
      <rPr>
        <sz val="12"/>
        <color rgb="FF7030A0"/>
        <rFont val="微软雅黑"/>
        <charset val="134"/>
      </rPr>
      <t>【战术点】</t>
    </r>
    <r>
      <rPr>
        <sz val="12"/>
        <color rgb="FF0070C0"/>
        <rFont val="微软雅黑"/>
        <charset val="134"/>
      </rPr>
      <t>可移动至战术家视野内的任一战术格中，而不仅是攻击范围中。
同一轮次内</t>
    </r>
    <r>
      <rPr>
        <sz val="12"/>
        <color rgb="FF7030A0"/>
        <rFont val="微软雅黑"/>
        <charset val="134"/>
      </rPr>
      <t>【战术点】</t>
    </r>
    <r>
      <rPr>
        <sz val="12"/>
        <color rgb="FF0070C0"/>
        <rFont val="微软雅黑"/>
        <charset val="134"/>
      </rPr>
      <t>至多以此法移动7个战术格</t>
    </r>
  </si>
  <si>
    <t>HP上限=生理耐受×2.5+（生理耐受/8+2）×升级次数</t>
  </si>
  <si>
    <r>
      <rPr>
        <sz val="10"/>
        <color rgb="FF7030A0"/>
        <rFont val="微软雅黑"/>
        <charset val="134"/>
      </rPr>
      <t>【战术点】</t>
    </r>
    <r>
      <rPr>
        <sz val="10"/>
        <color rgb="FFC00000"/>
        <rFont val="微软雅黑"/>
        <charset val="134"/>
      </rPr>
      <t>攻击一次，施加【标记】。每当该技艺的目标移动时，</t>
    </r>
    <r>
      <rPr>
        <sz val="10"/>
        <color rgb="FF7030A0"/>
        <rFont val="微软雅黑"/>
        <charset val="134"/>
      </rPr>
      <t>【战术点】</t>
    </r>
    <r>
      <rPr>
        <sz val="10"/>
        <color rgb="FFC00000"/>
        <rFont val="微软雅黑"/>
        <charset val="134"/>
      </rPr>
      <t>也可立即进行相同距离的移动，持续至该技艺的目标在一回合内移动6个战术格或被击倒。</t>
    </r>
  </si>
  <si>
    <r>
      <rPr>
        <sz val="14"/>
        <color rgb="FFC00000"/>
        <rFont val="微软雅黑"/>
        <charset val="134"/>
      </rPr>
      <t>轻击一次，</t>
    </r>
    <r>
      <rPr>
        <sz val="14"/>
        <color theme="5" tint="-0.5"/>
        <rFont val="微软雅黑"/>
        <charset val="134"/>
      </rPr>
      <t>目标下一次受到的攻击视为拥有【暴击】。</t>
    </r>
  </si>
  <si>
    <t>【战术点】攻击一次，额外造成等同于【战术点】当前HP的真实伤害，之后【战术点】HP归零。</t>
  </si>
  <si>
    <t>标签</t>
  </si>
  <si>
    <t>召唤物</t>
  </si>
  <si>
    <t>HP上限：与战术家一致</t>
  </si>
  <si>
    <t>物理抗性：与战术家一致</t>
  </si>
  <si>
    <t>法术抗性：与战术家一致</t>
  </si>
  <si>
    <t>特性</t>
  </si>
  <si>
    <t>1，拥有如图所示的攻击范围与控制区。战术家可以消耗行动以令战术点执行战术家本身能执行的基础战术动作。
2.战术家完成移动动作后，可以（且必须）移动到战术家的攻击范围内的某一战术格中。
3.无法被战术家以外的单位治疗。HP归零后撤退至战术家的物品栏中（也可主动进行撤退），期间的每个轮次开始时，战术点进行一次攻击检定，为战术点回复等量的HP。HP到达上限后，可由战术家消耗1主要1快速行动部署至战术家正前方一格
战术点拥有一个配件槽，用于装载自定义的配件。</t>
  </si>
  <si>
    <t>重装</t>
  </si>
  <si>
    <t>撰写人：小半</t>
  </si>
  <si>
    <t>守护</t>
  </si>
  <si>
    <t>盾挡</t>
  </si>
  <si>
    <t>驱逐</t>
  </si>
  <si>
    <t>全身撞击</t>
  </si>
  <si>
    <t>铁卫</t>
  </si>
  <si>
    <t>铜墙</t>
  </si>
  <si>
    <t>攻击范围
（或控制区）</t>
  </si>
  <si>
    <t>铁壁</t>
  </si>
  <si>
    <t>铁卫能够被视为掩体。
远程攻击的弹道通过铁卫的控制区时，铁卫可将这次远程攻击的目标改为铁卫自身</t>
  </si>
  <si>
    <t>通过移动接触的首个单位</t>
  </si>
  <si>
    <t>铁卫的【阻挡打击】无法被完全格挡或完全闪避。</t>
  </si>
  <si>
    <r>
      <rPr>
        <b/>
        <sz val="10"/>
        <color rgb="FFD9D9D9"/>
        <rFont val="微软雅黑"/>
        <charset val="134"/>
      </rPr>
      <t>穿戴</t>
    </r>
    <r>
      <rPr>
        <b/>
        <u/>
        <sz val="10"/>
        <color rgb="FFFFFFFF"/>
        <rFont val="微软雅黑"/>
        <charset val="134"/>
      </rPr>
      <t>重甲</t>
    </r>
    <r>
      <rPr>
        <b/>
        <sz val="10"/>
        <color rgb="FFD9D9D9"/>
        <rFont val="微软雅黑"/>
        <charset val="134"/>
      </rPr>
      <t>，具有</t>
    </r>
    <r>
      <rPr>
        <b/>
        <u/>
        <sz val="10"/>
        <color rgb="FFFFFFFF"/>
        <rFont val="微软雅黑"/>
        <charset val="134"/>
      </rPr>
      <t>高生命值</t>
    </r>
    <r>
      <rPr>
        <b/>
        <sz val="10"/>
        <color rgb="FFD9D9D9"/>
        <rFont val="微软雅黑"/>
        <charset val="134"/>
      </rPr>
      <t xml:space="preserve">
擅长以坚固的阵线保护队友的承伤职业。</t>
    </r>
  </si>
  <si>
    <t>每当该技能的目标即将受到攻击时，铁卫可以（无消耗地）移动至友方单位的中心九宫格范围内的对应方向，并将该次攻击的目标改为铁卫自身。</t>
  </si>
  <si>
    <t>获得【护盾1】</t>
  </si>
  <si>
    <t>轻击一次，对目标施加【推击5】，方向与铁卫朝向相同
该技艺可代替【阻挡打击】以作为反应动作释放。</t>
  </si>
  <si>
    <r>
      <rPr>
        <sz val="11"/>
        <color rgb="FF0070C0"/>
        <rFont val="微软雅黑"/>
        <charset val="134"/>
      </rPr>
      <t>向正前方移动5个战术格，直到攻击范围内存在障碍物或单位。</t>
    </r>
    <r>
      <rPr>
        <sz val="11"/>
        <color rgb="FFC00000"/>
        <rFont val="微软雅黑"/>
        <charset val="134"/>
      </rPr>
      <t>攻击一次，该次攻击伤害+X，X=铁卫的物理抗性。可不消耗SP，改为消耗1耐力以释放。</t>
    </r>
  </si>
  <si>
    <r>
      <rPr>
        <b/>
        <sz val="10"/>
        <color rgb="FFD9D9D9"/>
        <rFont val="微软雅黑"/>
        <charset val="134"/>
      </rPr>
      <t>伤害骰面为</t>
    </r>
    <r>
      <rPr>
        <b/>
        <u/>
        <sz val="10"/>
        <color rgb="FFFFFFFF"/>
        <rFont val="微软雅黑"/>
        <charset val="134"/>
      </rPr>
      <t>D4</t>
    </r>
    <r>
      <rPr>
        <b/>
        <sz val="10"/>
        <color rgb="FFD9D9D9"/>
        <rFont val="微软雅黑"/>
        <charset val="134"/>
      </rPr>
      <t>的</t>
    </r>
    <r>
      <rPr>
        <b/>
        <u/>
        <sz val="10"/>
        <color rgb="FFFFFFFF"/>
        <rFont val="微软雅黑"/>
        <charset val="134"/>
      </rPr>
      <t>近战物理</t>
    </r>
    <r>
      <rPr>
        <b/>
        <sz val="10"/>
        <color rgb="FFD9D9D9"/>
        <rFont val="微软雅黑"/>
        <charset val="134"/>
      </rPr>
      <t>武器
拥有</t>
    </r>
    <r>
      <rPr>
        <b/>
        <u/>
        <sz val="10"/>
        <color rgb="FFD9D9D9"/>
        <rFont val="微软雅黑"/>
        <charset val="134"/>
      </rPr>
      <t>防御技能</t>
    </r>
    <r>
      <rPr>
        <b/>
        <sz val="10"/>
        <color rgb="FFD9D9D9"/>
        <rFont val="微软雅黑"/>
        <charset val="134"/>
      </rPr>
      <t>，并且额外</t>
    </r>
    <r>
      <rPr>
        <b/>
        <u/>
        <sz val="10"/>
        <color rgb="FFD9D9D9"/>
        <rFont val="微软雅黑"/>
        <charset val="134"/>
      </rPr>
      <t>获得等同于防御技能值的物理抗性与法术抗性</t>
    </r>
    <r>
      <rPr>
        <b/>
        <sz val="10"/>
        <color rgb="FFD9D9D9"/>
        <rFont val="微软雅黑"/>
        <charset val="134"/>
      </rPr>
      <t>。
通常是各类的盾牌，以及用于辅助盾牌的轻便单手武器。
能够行之有效地抵挡物理伤害。</t>
    </r>
  </si>
  <si>
    <t>勇毅</t>
  </si>
  <si>
    <t>击晕</t>
  </si>
  <si>
    <t>莽突</t>
  </si>
  <si>
    <t>直面</t>
  </si>
  <si>
    <t>阵线</t>
  </si>
  <si>
    <t>来自铁卫正前方
（并非正面！)的攻击所造成的最终伤害减少50%</t>
  </si>
  <si>
    <t>范围内的
所有单位</t>
  </si>
  <si>
    <t>铁卫在【阻挡打击】时的检定获得骰面升级。
铁卫的【阻挡打击】不会被【困顿】所禁用。</t>
  </si>
  <si>
    <t>你的回合结束时，回复1SP。每进入一个新的精英化阶段，额外回复1SP
受到攻击时，回复1SP</t>
  </si>
  <si>
    <r>
      <rPr>
        <sz val="14"/>
        <color rgb="FF0070C0"/>
        <rFont val="微软雅黑"/>
        <charset val="134"/>
      </rPr>
      <t>对铁卫自身施加【嘲讽】</t>
    </r>
    <r>
      <rPr>
        <sz val="14"/>
        <color theme="7" tint="-0.5"/>
        <rFont val="微软雅黑"/>
        <charset val="134"/>
      </rPr>
      <t xml:space="preserve">
</t>
    </r>
    <r>
      <rPr>
        <sz val="14"/>
        <color theme="5" tint="-0.5"/>
        <rFont val="微软雅黑"/>
        <charset val="134"/>
      </rPr>
      <t>对目标施加【被嘲讽】</t>
    </r>
  </si>
  <si>
    <t>获得【抵抗】，持续至下一回合开始。</t>
  </si>
  <si>
    <t>轻击一次，对目标施加【眩晕】</t>
  </si>
  <si>
    <r>
      <rPr>
        <sz val="9"/>
        <rFont val="微软雅黑"/>
        <charset val="134"/>
      </rPr>
      <t>【引导】至你的下一回合开始。
下一回合开始时，再消耗主要及快速行动，</t>
    </r>
    <r>
      <rPr>
        <sz val="9"/>
        <color rgb="FF0070C0"/>
        <rFont val="微软雅黑"/>
        <charset val="134"/>
      </rPr>
      <t>向正前方（或侧前方）移动至多9个战术格，</t>
    </r>
    <r>
      <rPr>
        <sz val="9"/>
        <color rgb="FFC00000"/>
        <rFont val="微软雅黑"/>
        <charset val="134"/>
      </rPr>
      <t>期间攻击控制区内的目标各一次，</t>
    </r>
    <r>
      <rPr>
        <sz val="9"/>
        <color theme="0" tint="-0.5"/>
        <rFont val="微软雅黑"/>
        <charset val="134"/>
      </rPr>
      <t>摧毁民用级障碍，</t>
    </r>
    <r>
      <rPr>
        <sz val="9"/>
        <color theme="5" tint="-0.5"/>
        <rFont val="微软雅黑"/>
        <charset val="134"/>
      </rPr>
      <t>将重量等级低于铁卫的目标撞飞至由SN决定的位置</t>
    </r>
  </si>
  <si>
    <t>还击</t>
  </si>
  <si>
    <t>叠甲</t>
  </si>
  <si>
    <t>高举盾牌</t>
  </si>
  <si>
    <t>硬撑</t>
  </si>
  <si>
    <t>长臂管辖</t>
  </si>
  <si>
    <t>他山之石</t>
  </si>
  <si>
    <t>铁卫的控制区
扩大至
如图所示</t>
  </si>
  <si>
    <t>当铁卫获得临时物理抗性时，都会同时获得
等同于物理抗性值50%的临时法术抗性</t>
  </si>
  <si>
    <r>
      <rPr>
        <sz val="12"/>
        <rFont val="微软雅黑"/>
        <charset val="134"/>
      </rPr>
      <t>直到下一回合开始，</t>
    </r>
    <r>
      <rPr>
        <sz val="12"/>
        <color rgb="FFC00000"/>
        <rFont val="微软雅黑"/>
        <charset val="134"/>
      </rPr>
      <t>铁卫受到来自控制区内的攻击后，反击目标一次。</t>
    </r>
    <r>
      <rPr>
        <sz val="12"/>
        <color theme="7" tint="-0.5"/>
        <rFont val="微软雅黑"/>
        <charset val="134"/>
      </rPr>
      <t>受到来自控制区外的攻击时，使攻击源的检定获得骰面降级</t>
    </r>
  </si>
  <si>
    <t>物理抗性+15，持续至下一回合开始。</t>
  </si>
  <si>
    <t>直到下个回合开始，铁卫的
【完全格挡】不再消耗行动。</t>
  </si>
  <si>
    <t>恢复50%的已损失生命值，清除任意个状态，随后将生命值上限降低至当前生命值。物理抗性+X，X=生命值上限的降低值，持续至下回合开始</t>
  </si>
  <si>
    <t>玉碎</t>
  </si>
  <si>
    <t>金身</t>
  </si>
  <si>
    <t>盾牌投掷</t>
  </si>
  <si>
    <t>行军模式</t>
  </si>
  <si>
    <t>通识技能×3.5+3</t>
  </si>
  <si>
    <t>立入禁止</t>
  </si>
  <si>
    <t>不动如山</t>
  </si>
  <si>
    <t>铁卫能无视【突袭】</t>
  </si>
  <si>
    <t>铁卫不再受【推击】
和【拉近】的影响</t>
  </si>
  <si>
    <t>HP上限=生理耐受×3.5+（生理耐受/8+3）×升级次数</t>
  </si>
  <si>
    <t>攻击检定获得1个奖励骰与骰面升级，持续到下一回合结束。
每受到一次攻击，额外获得1个</t>
  </si>
  <si>
    <t>进行一次骰面为4的【盾术】检定，获得数值等同于检定结果的【屏障】</t>
  </si>
  <si>
    <t>轻击一次，但另外对其造成等同于你物理抗性的物理伤害。</t>
  </si>
  <si>
    <t>物理抗性+30，，通过移动预备获得的移动位-1，持续至战斗结束</t>
  </si>
  <si>
    <t>撰写人：前文明真奈</t>
  </si>
  <si>
    <t>急救</t>
  </si>
  <si>
    <t>强令对决</t>
  </si>
  <si>
    <t>外科手术</t>
  </si>
  <si>
    <t>守护者</t>
  </si>
  <si>
    <t>前线医师</t>
  </si>
  <si>
    <t>坚墙</t>
  </si>
  <si>
    <t>允许使用治疗，期间使用源石技艺或支援技术进行检定。
以自身为中心的中心8范围内的单个单位（包括自身）均可被视为【治疗】动作的目标。</t>
  </si>
  <si>
    <t>HP低于上限50%的单个单位
（包括自身）</t>
  </si>
  <si>
    <t>守护者的【阻挡打击】无法被完全格挡或完全闪避。
守护者的【阻挡打击】不会被【困顿】所禁用。</t>
  </si>
  <si>
    <r>
      <rPr>
        <b/>
        <sz val="10"/>
        <color rgb="FFD9D9D9"/>
        <rFont val="微软雅黑"/>
        <charset val="134"/>
      </rPr>
      <t>穿戴</t>
    </r>
    <r>
      <rPr>
        <b/>
        <u/>
        <sz val="10"/>
        <color rgb="FFFFFFFF"/>
        <rFont val="微软雅黑"/>
        <charset val="134"/>
      </rPr>
      <t>重甲</t>
    </r>
    <r>
      <rPr>
        <b/>
        <sz val="10"/>
        <color rgb="FFD9D9D9"/>
        <rFont val="微软雅黑"/>
        <charset val="134"/>
      </rPr>
      <t>，具有</t>
    </r>
    <r>
      <rPr>
        <b/>
        <u/>
        <sz val="10"/>
        <color rgb="FFFFFFFF"/>
        <rFont val="微软雅黑"/>
        <charset val="134"/>
      </rPr>
      <t>高生命值</t>
    </r>
    <r>
      <rPr>
        <b/>
        <sz val="10"/>
        <color rgb="FFD9D9D9"/>
        <rFont val="微软雅黑"/>
        <charset val="134"/>
      </rPr>
      <t xml:space="preserve">
使用治疗能力维持生命值的承伤职业。</t>
    </r>
  </si>
  <si>
    <t>反应动作。守护者移动至友方单位的中心九宫格范围内的对应方向，并将该次攻击的目标改为守护者自身。</t>
  </si>
  <si>
    <t>【治疗】目标，本次检定获得骰面升级。可作为反应动作，在目标即将受到攻击或受击后释放。</t>
  </si>
  <si>
    <r>
      <rPr>
        <sz val="12"/>
        <color rgb="FF0070C0"/>
        <rFont val="微软雅黑"/>
        <charset val="134"/>
      </rPr>
      <t>对自身施加【嘲讽】，</t>
    </r>
    <r>
      <rPr>
        <sz val="12"/>
        <color rgb="FF843E0B"/>
        <rFont val="微软雅黑"/>
        <charset val="134"/>
      </rPr>
      <t>对目标施加【被嘲讽】。</t>
    </r>
    <r>
      <rPr>
        <sz val="12"/>
        <color rgb="FF000000"/>
        <rFont val="微软雅黑"/>
        <charset val="134"/>
      </rPr>
      <t>持续至生效一次。持续时间结束时，可消耗1SP立即重新释放该技能。</t>
    </r>
  </si>
  <si>
    <r>
      <rPr>
        <sz val="12"/>
        <color rgb="FFC00000"/>
        <rFont val="微软雅黑"/>
        <charset val="134"/>
      </rPr>
      <t>攻击一次，攻击前额外对自身进行一次【治疗】，随后将该次【治疗】的所有治疗量转换为该次攻击时附带的等量真实伤害</t>
    </r>
    <r>
      <rPr>
        <sz val="12"/>
        <color rgb="FF000000"/>
        <rFont val="微软雅黑"/>
        <charset val="134"/>
      </rPr>
      <t>。可不消耗SP，改为消耗1耐力以释放。</t>
    </r>
  </si>
  <si>
    <r>
      <rPr>
        <b/>
        <sz val="10"/>
        <color rgb="FFD9D9D9"/>
        <rFont val="微软雅黑"/>
        <charset val="134"/>
      </rPr>
      <t>伤害骰面为</t>
    </r>
    <r>
      <rPr>
        <b/>
        <u/>
        <sz val="10"/>
        <color rgb="FFFFFFFF"/>
        <rFont val="微软雅黑"/>
        <charset val="134"/>
      </rPr>
      <t>D4</t>
    </r>
    <r>
      <rPr>
        <b/>
        <sz val="10"/>
        <color rgb="FFD9D9D9"/>
        <rFont val="微软雅黑"/>
        <charset val="134"/>
      </rPr>
      <t>的</t>
    </r>
    <r>
      <rPr>
        <b/>
        <u/>
        <sz val="10"/>
        <color rgb="FFFFFFFF"/>
        <rFont val="微软雅黑"/>
        <charset val="134"/>
      </rPr>
      <t>近战物理</t>
    </r>
    <r>
      <rPr>
        <b/>
        <sz val="10"/>
        <color rgb="FFD9D9D9"/>
        <rFont val="微软雅黑"/>
        <charset val="134"/>
      </rPr>
      <t>武器
拥有</t>
    </r>
    <r>
      <rPr>
        <b/>
        <u/>
        <sz val="10"/>
        <color rgb="FFD9D9D9"/>
        <rFont val="微软雅黑"/>
        <charset val="134"/>
      </rPr>
      <t>防御技能</t>
    </r>
    <r>
      <rPr>
        <b/>
        <sz val="10"/>
        <color rgb="FFD9D9D9"/>
        <rFont val="微软雅黑"/>
        <charset val="134"/>
      </rPr>
      <t>，并且额外</t>
    </r>
    <r>
      <rPr>
        <b/>
        <u/>
        <sz val="10"/>
        <color rgb="FFD9D9D9"/>
        <rFont val="微软雅黑"/>
        <charset val="134"/>
      </rPr>
      <t>获得等同于防御技能值的物理抗性与法术抗性</t>
    </r>
    <r>
      <rPr>
        <b/>
        <sz val="10"/>
        <color rgb="FFD9D9D9"/>
        <rFont val="微软雅黑"/>
        <charset val="134"/>
      </rPr>
      <t>。
通常是各类的盾牌，以及用于治疗的道具。</t>
    </r>
  </si>
  <si>
    <t>专注治疗</t>
  </si>
  <si>
    <t>药物配置</t>
  </si>
  <si>
    <t>广域拦截</t>
  </si>
  <si>
    <t>自身守护</t>
  </si>
  <si>
    <t>荫庇</t>
  </si>
  <si>
    <t>中心20</t>
  </si>
  <si>
    <t>再来再来</t>
  </si>
  <si>
    <t>守护者自身中心8范围内的友方单位受到远程攻击时，守护者可将受击目标改为自身。</t>
  </si>
  <si>
    <t>守护者因受到攻击而失去HP后，对自身施加【亲和】，或清除自身的【禁疗】</t>
  </si>
  <si>
    <t>你的回合结束时，回复1SP。每进入一个新的精英化阶段，额外回复1SP。
受到或使用【治疗】时，回复1SP</t>
  </si>
  <si>
    <t>无法攻击，使用天赋【前线医师】进行的治疗可消耗快速行动，范围扩大至中心12，持续至守护者下一次进行攻击</t>
  </si>
  <si>
    <t>治疗一次，骰面降级，对所有目标产生效果。</t>
  </si>
  <si>
    <t>控制区扩大至释放范围，持续至下一轮结束。</t>
  </si>
  <si>
    <r>
      <rPr>
        <sz val="14"/>
        <color rgb="FF3C5F21"/>
        <rFont val="微软雅黑"/>
        <charset val="134"/>
      </rPr>
      <t>【治疗】自身，本次检定获得骰面升级。</t>
    </r>
    <r>
      <rPr>
        <sz val="14"/>
        <color rgb="FF0070C0"/>
        <rFont val="微软雅黑"/>
        <charset val="134"/>
      </rPr>
      <t>溢出的治疗变为等量的【伤害强化】。</t>
    </r>
  </si>
  <si>
    <t>亲和治疗</t>
  </si>
  <si>
    <t>防护</t>
  </si>
  <si>
    <t>守护领域</t>
  </si>
  <si>
    <t>维生立场</t>
  </si>
  <si>
    <t>身后灯火</t>
  </si>
  <si>
    <t>战斗医学</t>
  </si>
  <si>
    <t>法术抗性+5，如果守护者中心8范围内存在友方单位，这些单位法术抗性+5</t>
  </si>
  <si>
    <t>任意个目标</t>
  </si>
  <si>
    <t>单个战术格</t>
  </si>
  <si>
    <t>所有友方单位在进行治疗时，额外治疗X点HP，X=守护者的医药学技能值，至多额外提供+12点，同种效果取最高。</t>
  </si>
  <si>
    <t>施加【亲和】
持续至下个战斗轮结束。</t>
  </si>
  <si>
    <t>施加【抵抗】。</t>
  </si>
  <si>
    <r>
      <rPr>
        <sz val="11"/>
        <rFont val="微软雅黑"/>
        <charset val="134"/>
      </rPr>
      <t>【引导】至自身下个回合开始。</t>
    </r>
    <r>
      <rPr>
        <sz val="11"/>
        <color theme="7" tint="-0.5"/>
        <rFont val="微软雅黑"/>
        <charset val="134"/>
      </rPr>
      <t xml:space="preserve">
</t>
    </r>
    <r>
      <rPr>
        <sz val="11"/>
        <color rgb="FF0070C0"/>
        <rFont val="微软雅黑"/>
        <charset val="134"/>
      </rPr>
      <t>引导期间，每个回合的结束时，对释放范围内所有友方单位施加【伤害强化8】。</t>
    </r>
    <r>
      <rPr>
        <sz val="11"/>
        <color theme="5" tint="-0.5"/>
        <rFont val="微软雅黑"/>
        <charset val="134"/>
      </rPr>
      <t>对所有敌人施加【脆弱8】。</t>
    </r>
  </si>
  <si>
    <r>
      <rPr>
        <sz val="16"/>
        <color rgb="FF7F7F7F"/>
        <rFont val="微软雅黑"/>
        <charset val="134"/>
      </rPr>
      <t xml:space="preserve">在目标战术格召唤
</t>
    </r>
    <r>
      <rPr>
        <sz val="16"/>
        <color rgb="FF7030A0"/>
        <rFont val="微软雅黑"/>
        <charset val="134"/>
      </rPr>
      <t>【维生立场】</t>
    </r>
  </si>
  <si>
    <t>救世重拳</t>
  </si>
  <si>
    <t>天罚形态</t>
  </si>
  <si>
    <t>感天动地</t>
  </si>
  <si>
    <t>急救专家</t>
  </si>
  <si>
    <t>剑盾</t>
  </si>
  <si>
    <t>武器</t>
  </si>
  <si>
    <t>精神回复</t>
  </si>
  <si>
    <r>
      <rPr>
        <sz val="14"/>
        <color rgb="FF385723"/>
        <rFont val="微软雅黑"/>
        <charset val="134"/>
      </rPr>
      <t>守护者自身进行治疗时，额外治疗Y点HP，Y=守护者的急救技能值，至多额外提供+12点。同种效果取最高。</t>
    </r>
    <r>
      <rPr>
        <sz val="14"/>
        <color rgb="FF000000"/>
        <rFont val="微软雅黑"/>
        <charset val="134"/>
      </rPr>
      <t>守护者释放急救时，能够在释放动作后立即结束引导。</t>
    </r>
  </si>
  <si>
    <t>受到攻击时，获得1SP。</t>
  </si>
  <si>
    <t>造成的治疗额外使受影响的的单位获得1SP。</t>
  </si>
  <si>
    <r>
      <rPr>
        <sz val="14"/>
        <color rgb="FFC00000"/>
        <rFont val="微软雅黑"/>
        <charset val="134"/>
      </rPr>
      <t>轻击一次，但另外造成你法术抗性的法术伤害，</t>
    </r>
    <r>
      <rPr>
        <sz val="14"/>
        <color theme="7" tint="-0.5"/>
        <rFont val="微软雅黑"/>
        <charset val="134"/>
      </rPr>
      <t>然后中心20范围内一个单位恢复等量HP。</t>
    </r>
  </si>
  <si>
    <r>
      <rPr>
        <sz val="14"/>
        <color rgb="FFC00000"/>
        <rFont val="微软雅黑"/>
        <charset val="134"/>
      </rPr>
      <t>直到战斗结束，对其他单位造成的治疗效果时，改为造成等量真实伤害</t>
    </r>
    <r>
      <rPr>
        <sz val="14"/>
        <color theme="7" tint="-0.5"/>
        <rFont val="微软雅黑"/>
        <charset val="134"/>
      </rPr>
      <t>并为自身恢复4HP。</t>
    </r>
    <r>
      <rPr>
        <sz val="14"/>
        <rFont val="微软雅黑"/>
        <charset val="134"/>
      </rPr>
      <t>再次发动以变回原样。</t>
    </r>
  </si>
  <si>
    <r>
      <rPr>
        <sz val="12"/>
        <rFont val="微软雅黑"/>
        <charset val="134"/>
      </rPr>
      <t>【引导】至自身下个回合开始。</t>
    </r>
    <r>
      <rPr>
        <sz val="12"/>
        <color rgb="FFC00000"/>
        <rFont val="微软雅黑"/>
        <charset val="134"/>
      </rPr>
      <t xml:space="preserve">
</t>
    </r>
    <r>
      <rPr>
        <sz val="12"/>
        <color theme="7" tint="-0.5"/>
        <rFont val="微软雅黑"/>
        <charset val="134"/>
      </rPr>
      <t>引导完成时，【突袭】至目标战术格，对以目标战术格为中心中心20范围内所有友方单位施加【护盾】，</t>
    </r>
    <r>
      <rPr>
        <sz val="12"/>
        <color theme="6" tint="-0.5"/>
        <rFont val="微软雅黑"/>
        <charset val="134"/>
      </rPr>
      <t>对敌方单位施加【眩晕】。</t>
    </r>
  </si>
  <si>
    <t>HP上限：3</t>
  </si>
  <si>
    <t>物理抗性：0</t>
  </si>
  <si>
    <t>法术抗性：0</t>
  </si>
  <si>
    <t>受到伤害时改为HP上限-1。
自身周围中心12范围内所有角色的HP不会低于1点</t>
  </si>
  <si>
    <t>近卫</t>
  </si>
  <si>
    <t>GUARD</t>
  </si>
  <si>
    <r>
      <t>【决斗】</t>
    </r>
    <r>
      <rPr>
        <b/>
        <sz val="11"/>
        <color rgb="FF000000"/>
        <rFont val="微软雅黑"/>
        <charset val="134"/>
      </rPr>
      <t>：持有该状态的单位的对其他持有</t>
    </r>
    <r>
      <rPr>
        <b/>
        <sz val="11"/>
        <color rgb="FF7030A0"/>
        <rFont val="微软雅黑"/>
        <charset val="134"/>
      </rPr>
      <t>【决斗】</t>
    </r>
    <r>
      <rPr>
        <b/>
        <sz val="11"/>
        <color rgb="FF000000"/>
        <rFont val="微软雅黑"/>
        <charset val="134"/>
      </rPr>
      <t>的单位的攻击骰面升级。否则攻击骰面降级。</t>
    </r>
  </si>
  <si>
    <t>跃击</t>
  </si>
  <si>
    <t>剑柄打</t>
  </si>
  <si>
    <t>重整旗鼓</t>
  </si>
  <si>
    <t>无畏者</t>
  </si>
  <si>
    <t>迅捷出击</t>
  </si>
  <si>
    <t>凝神</t>
  </si>
  <si>
    <r>
      <t>在战斗开始时，若己方阵营未被突袭，则立即【引导】至自身下回合开始。</t>
    </r>
    <r>
      <rPr>
        <sz val="12"/>
        <color rgb="FF0070C0"/>
        <rFont val="微软雅黑"/>
        <charset val="134"/>
      </rPr>
      <t xml:space="preserve">
</t>
    </r>
    <r>
      <rPr>
        <sz val="12"/>
        <color rgb="FF385723"/>
        <rFont val="微软雅黑"/>
        <charset val="134"/>
      </rPr>
      <t>【引导】期间自身视为离开战场。</t>
    </r>
    <r>
      <rPr>
        <sz val="12"/>
        <color rgb="FF0070C0"/>
        <rFont val="微软雅黑"/>
        <charset val="134"/>
      </rPr>
      <t xml:space="preserve">
【引导】完成时【突袭】3个战术格。</t>
    </r>
  </si>
  <si>
    <r>
      <rPr>
        <b/>
        <sz val="11"/>
        <color rgb="FFFFFFFF"/>
        <rFont val="微软雅黑"/>
        <charset val="134"/>
      </rPr>
      <t>生效</t>
    </r>
    <r>
      <rPr>
        <b/>
        <sz val="11"/>
        <color rgb="FFFFFFFF"/>
        <rFont val="微软雅黑"/>
        <charset val="134"/>
      </rPr>
      <t xml:space="preserve">
</t>
    </r>
    <r>
      <rPr>
        <b/>
        <sz val="11"/>
        <color rgb="FFFFFFFF"/>
        <rFont val="微软雅黑"/>
        <charset val="134"/>
      </rPr>
      <t>目标</t>
    </r>
  </si>
  <si>
    <t>攻击时，若消耗了主要行动，获得一个奖励骰</t>
  </si>
  <si>
    <r>
      <rPr>
        <b/>
        <sz val="14"/>
        <color rgb="FFD9D9D9"/>
        <rFont val="微软雅黑"/>
        <charset val="134"/>
      </rPr>
      <t>分支</t>
    </r>
    <r>
      <rPr>
        <b/>
        <sz val="14"/>
        <color rgb="FFD9D9D9"/>
        <rFont val="微软雅黑"/>
        <charset val="134"/>
      </rPr>
      <t xml:space="preserve">
</t>
    </r>
    <r>
      <rPr>
        <b/>
        <sz val="14"/>
        <color rgb="FFD9D9D9"/>
        <rFont val="微软雅黑"/>
        <charset val="134"/>
      </rPr>
      <t>特性</t>
    </r>
  </si>
  <si>
    <r>
      <rPr>
        <b/>
        <sz val="10"/>
        <color rgb="FFD9D9D9"/>
        <rFont val="微软雅黑"/>
        <charset val="134"/>
      </rPr>
      <t>穿戴中</t>
    </r>
    <r>
      <rPr>
        <b/>
        <u/>
        <sz val="10"/>
        <color rgb="FFFFFFFF"/>
        <rFont val="微软雅黑"/>
        <charset val="134"/>
      </rPr>
      <t>甲</t>
    </r>
    <r>
      <rPr>
        <b/>
        <sz val="10"/>
        <color rgb="FFD9D9D9"/>
        <rFont val="微软雅黑"/>
        <charset val="134"/>
      </rPr>
      <t>，具有</t>
    </r>
    <r>
      <rPr>
        <b/>
        <u/>
        <sz val="10"/>
        <color rgb="FFFFFFFF"/>
        <rFont val="微软雅黑"/>
        <charset val="134"/>
      </rPr>
      <t>高生命值</t>
    </r>
    <r>
      <rPr>
        <b/>
        <sz val="10"/>
        <color rgb="FFD9D9D9"/>
        <rFont val="微软雅黑"/>
        <charset val="134"/>
      </rPr>
      <t xml:space="preserve">
</t>
    </r>
    <r>
      <rPr>
        <b/>
        <sz val="10"/>
        <color rgb="FFD9D9D9"/>
        <rFont val="微软雅黑"/>
        <charset val="134"/>
      </rPr>
      <t>擅长对单个目标造成大量伤害的近战输出职业</t>
    </r>
  </si>
  <si>
    <r>
      <rPr>
        <sz val="12"/>
        <color rgb="FF0070C0"/>
        <rFont val="微软雅黑"/>
        <charset val="134"/>
      </rPr>
      <t>移动至释放范围内的一个战术格</t>
    </r>
    <r>
      <rPr>
        <sz val="12"/>
        <color rgb="FF861322"/>
        <rFont val="微软雅黑"/>
        <charset val="134"/>
      </rPr>
      <t>，</t>
    </r>
    <r>
      <rPr>
        <sz val="12"/>
        <color rgb="FFC00000"/>
        <rFont val="微软雅黑"/>
        <charset val="134"/>
      </rPr>
      <t>攻击一次。</t>
    </r>
    <r>
      <rPr>
        <sz val="12"/>
        <color rgb="FF861322"/>
        <rFont val="微软雅黑"/>
        <charset val="134"/>
      </rPr>
      <t xml:space="preserve">
</t>
    </r>
    <r>
      <rPr>
        <sz val="12"/>
        <color rgb="FF000000"/>
        <rFont val="微软雅黑"/>
        <charset val="134"/>
      </rPr>
      <t>若目标有【标记】，</t>
    </r>
    <r>
      <rPr>
        <sz val="12"/>
        <color rgb="FFC00000"/>
        <rFont val="微软雅黑"/>
        <charset val="134"/>
      </rPr>
      <t>无视目标2/3/4点物理抗性。（随精英化提升）</t>
    </r>
  </si>
  <si>
    <t>轻击一次，对目标施加【标记】</t>
  </si>
  <si>
    <t>突袭3战术格。</t>
  </si>
  <si>
    <r>
      <rPr>
        <sz val="14"/>
        <color rgb="FF3C5F21"/>
        <rFont val="微软雅黑"/>
        <charset val="134"/>
      </rPr>
      <t>恢复16HP。</t>
    </r>
    <r>
      <rPr>
        <sz val="14"/>
        <color rgb="FF3C5F21"/>
        <rFont val="微软雅黑"/>
        <charset val="134"/>
      </rPr>
      <t xml:space="preserve">
</t>
    </r>
    <r>
      <rPr>
        <sz val="14"/>
        <color rgb="FF3C5F21"/>
        <rFont val="微软雅黑"/>
        <charset val="134"/>
      </rPr>
      <t>每进入一个新的精英化阶段，额外恢复8HP。</t>
    </r>
  </si>
  <si>
    <r>
      <rPr>
        <b/>
        <sz val="14"/>
        <color rgb="FFD9D9D9"/>
        <rFont val="微软雅黑"/>
        <charset val="134"/>
      </rPr>
      <t>武器</t>
    </r>
    <r>
      <rPr>
        <b/>
        <sz val="14"/>
        <color rgb="FFD9D9D9"/>
        <rFont val="微软雅黑"/>
        <charset val="134"/>
      </rPr>
      <t xml:space="preserve">
</t>
    </r>
    <r>
      <rPr>
        <b/>
        <sz val="14"/>
        <color rgb="FFD9D9D9"/>
        <rFont val="微软雅黑"/>
        <charset val="134"/>
      </rPr>
      <t>类型</t>
    </r>
  </si>
  <si>
    <r>
      <rPr>
        <b/>
        <sz val="10"/>
        <color rgb="FFD9D9D9"/>
        <rFont val="微软雅黑"/>
        <charset val="134"/>
      </rPr>
      <t>伤害骰面为</t>
    </r>
    <r>
      <rPr>
        <b/>
        <u/>
        <sz val="10"/>
        <color rgb="FFFFFFFF"/>
        <rFont val="微软雅黑"/>
        <charset val="134"/>
      </rPr>
      <t>D6</t>
    </r>
    <r>
      <rPr>
        <b/>
        <sz val="10"/>
        <color rgb="FFD9D9D9"/>
        <rFont val="微软雅黑"/>
        <charset val="134"/>
      </rPr>
      <t>的</t>
    </r>
    <r>
      <rPr>
        <b/>
        <u/>
        <sz val="10"/>
        <color rgb="FFF2F2F2"/>
        <rFont val="微软雅黑"/>
        <charset val="134"/>
      </rPr>
      <t>近战物理</t>
    </r>
    <r>
      <rPr>
        <b/>
        <sz val="10"/>
        <color rgb="FFD9D9D9"/>
        <rFont val="微软雅黑"/>
        <charset val="134"/>
      </rPr>
      <t>武器</t>
    </r>
    <r>
      <rPr>
        <b/>
        <sz val="10"/>
        <color rgb="FFD9D9D9"/>
        <rFont val="微软雅黑"/>
        <charset val="134"/>
      </rPr>
      <t xml:space="preserve">
</t>
    </r>
    <r>
      <rPr>
        <b/>
        <sz val="10"/>
        <color rgb="FFD9D9D9"/>
        <rFont val="微软雅黑"/>
        <charset val="134"/>
      </rPr>
      <t>通常是各式刀剑，也包括部分长兵</t>
    </r>
    <r>
      <rPr>
        <b/>
        <sz val="10"/>
        <color rgb="FFD9D9D9"/>
        <rFont val="微软雅黑"/>
        <charset val="134"/>
      </rPr>
      <t xml:space="preserve">
</t>
    </r>
    <r>
      <rPr>
        <b/>
        <sz val="10"/>
        <color rgb="FFD9D9D9"/>
        <rFont val="微软雅黑"/>
        <charset val="134"/>
      </rPr>
      <t>能够在较近距离发动兼具力量与速度的物理攻击比起其他武器，更注重使用者的躯体能力</t>
    </r>
  </si>
  <si>
    <t>赐死</t>
  </si>
  <si>
    <t>身无片甲</t>
  </si>
  <si>
    <t>决斗</t>
  </si>
  <si>
    <t>绝望突破</t>
  </si>
  <si>
    <t>追伐</t>
  </si>
  <si>
    <t>交锋</t>
  </si>
  <si>
    <t>如果你拥有【决斗】，每回合有两次移动不消耗移动位。</t>
  </si>
  <si>
    <t>攻击时，若目标拥有【决斗】且上个战斗轮中攻击过你，本次攻击无视目标3/4点物理抗性。（随精英化提升）</t>
  </si>
  <si>
    <r>
      <rPr>
        <b/>
        <sz val="14"/>
        <color rgb="FFD9D9D9"/>
        <rFont val="微软雅黑"/>
        <charset val="134"/>
      </rPr>
      <t>SP</t>
    </r>
    <r>
      <rPr>
        <b/>
        <sz val="14"/>
        <color rgb="FFD9D9D9"/>
        <rFont val="微软雅黑"/>
        <charset val="134"/>
      </rPr>
      <t xml:space="preserve">
</t>
    </r>
    <r>
      <rPr>
        <b/>
        <sz val="14"/>
        <color rgb="FFD9D9D9"/>
        <rFont val="微软雅黑"/>
        <charset val="134"/>
      </rPr>
      <t>回复</t>
    </r>
  </si>
  <si>
    <t>你的回合结束时，恢复2SP
每进入一个新的精英化阶段，额外恢复1SP</t>
  </si>
  <si>
    <r>
      <rPr>
        <sz val="14"/>
        <color rgb="FFC00000"/>
        <rFont val="微软雅黑"/>
        <charset val="134"/>
      </rPr>
      <t>攻击两次。</t>
    </r>
    <r>
      <rPr>
        <sz val="14"/>
        <color rgb="FF000000"/>
        <rFont val="微软雅黑"/>
        <charset val="134"/>
      </rPr>
      <t>若目标有【标记】</t>
    </r>
    <r>
      <rPr>
        <sz val="14"/>
        <color rgb="FF861322"/>
        <rFont val="微软雅黑"/>
        <charset val="134"/>
      </rPr>
      <t>，</t>
    </r>
    <r>
      <rPr>
        <sz val="14"/>
        <color rgb="FFC00000"/>
        <rFont val="微软雅黑"/>
        <charset val="134"/>
      </rPr>
      <t>则无视目标6/8点物理抗性。（随精英化提升）</t>
    </r>
  </si>
  <si>
    <t>使自身物理抗性任意降低，目标降低一半数值的物理抗性，都持续至本轮结束。</t>
  </si>
  <si>
    <t>对目标和自身施加【决斗】。拥有【决斗】时再次施放则解除所有【决斗】并返还资源。</t>
  </si>
  <si>
    <r>
      <rPr>
        <sz val="14"/>
        <color rgb="FF3C5F21"/>
        <rFont val="微软雅黑"/>
        <charset val="134"/>
      </rPr>
      <t>作为反应动作在回合外释放，清除自身任意个状态。</t>
    </r>
    <r>
      <rPr>
        <sz val="14"/>
        <color rgb="FF3C5F21"/>
        <rFont val="微软雅黑"/>
        <charset val="134"/>
      </rPr>
      <t xml:space="preserve">
</t>
    </r>
    <r>
      <rPr>
        <sz val="14"/>
        <color rgb="FF3C5F21"/>
        <rFont val="微软雅黑"/>
        <charset val="134"/>
      </rPr>
      <t>每场战斗限一次。</t>
    </r>
  </si>
  <si>
    <t>终结</t>
  </si>
  <si>
    <t>致残</t>
  </si>
  <si>
    <t>战术奔袭</t>
  </si>
  <si>
    <t>岿然不动</t>
  </si>
  <si>
    <r>
      <rPr>
        <b/>
        <sz val="16"/>
        <color rgb="FF000000"/>
        <rFont val="微软雅黑"/>
        <charset val="134"/>
      </rPr>
      <t>攻</t>
    </r>
    <r>
      <rPr>
        <b/>
        <sz val="16"/>
        <color rgb="FF000000"/>
        <rFont val="微软雅黑"/>
        <charset val="134"/>
      </rPr>
      <t xml:space="preserve">
</t>
    </r>
    <r>
      <rPr>
        <b/>
        <sz val="16"/>
        <color rgb="FF000000"/>
        <rFont val="微软雅黑"/>
        <charset val="134"/>
      </rPr>
      <t>击</t>
    </r>
    <r>
      <rPr>
        <b/>
        <sz val="16"/>
        <color rgb="FF000000"/>
        <rFont val="微软雅黑"/>
        <charset val="134"/>
      </rPr>
      <t xml:space="preserve">
</t>
    </r>
    <r>
      <rPr>
        <b/>
        <sz val="16"/>
        <color rgb="FF000000"/>
        <rFont val="微软雅黑"/>
        <charset val="134"/>
      </rPr>
      <t>范</t>
    </r>
    <r>
      <rPr>
        <b/>
        <sz val="16"/>
        <color rgb="FF000000"/>
        <rFont val="微软雅黑"/>
        <charset val="134"/>
      </rPr>
      <t xml:space="preserve">
</t>
    </r>
    <r>
      <rPr>
        <b/>
        <sz val="16"/>
        <color rgb="FF000000"/>
        <rFont val="微软雅黑"/>
        <charset val="134"/>
      </rPr>
      <t>围</t>
    </r>
  </si>
  <si>
    <t>血战</t>
  </si>
  <si>
    <t>专注</t>
  </si>
  <si>
    <r>
      <rPr>
        <sz val="11"/>
        <color rgb="FF000000"/>
        <rFont val="微软雅黑"/>
        <charset val="134"/>
      </rPr>
      <t>无畏者的生命值归零时，可
消耗1耐力，</t>
    </r>
    <r>
      <rPr>
        <sz val="11"/>
        <color rgb="FF3C5F21"/>
        <rFont val="微软雅黑"/>
        <charset val="134"/>
      </rPr>
      <t>不进入濒死并立刻清除自身所有状态</t>
    </r>
    <r>
      <rPr>
        <sz val="11"/>
        <color rgb="FF000000"/>
        <rFont val="微软雅黑"/>
        <charset val="134"/>
      </rPr>
      <t>，使得当前生命值上限减少50%，</t>
    </r>
    <r>
      <rPr>
        <sz val="11"/>
        <color rgb="FF3C5F21"/>
        <rFont val="微软雅黑"/>
        <charset val="134"/>
      </rPr>
      <t>恢复所有生命值</t>
    </r>
    <r>
      <rPr>
        <sz val="11"/>
        <color rgb="FF000000"/>
        <rFont val="微软雅黑"/>
        <charset val="134"/>
      </rPr>
      <t>。触发血战的当轮所有攻击骰面降级。
每场战斗仅限一次。</t>
    </r>
  </si>
  <si>
    <t>自身拥有【决斗】时，如果受到来源不拥有【决斗】的状态，可以通过与对方进行一次攻击检定对抗以豁免该状态。</t>
  </si>
  <si>
    <r>
      <rPr>
        <sz val="14"/>
        <color rgb="FFC00000"/>
        <rFont val="微软雅黑"/>
        <charset val="134"/>
      </rPr>
      <t>攻击一次，攻击获得【暴击】</t>
    </r>
    <r>
      <rPr>
        <sz val="14"/>
        <color rgb="FFC00000"/>
        <rFont val="微软雅黑"/>
        <charset val="134"/>
      </rPr>
      <t xml:space="preserve">
</t>
    </r>
    <r>
      <rPr>
        <sz val="14"/>
        <color rgb="FFC00000"/>
        <rFont val="微软雅黑"/>
        <charset val="134"/>
      </rPr>
      <t>在同一场战斗中无法再次使用，除非无畏者击倒了一个敌方单位。</t>
    </r>
  </si>
  <si>
    <r>
      <rPr>
        <sz val="14"/>
        <color rgb="FF843E0B"/>
        <rFont val="微软雅黑"/>
        <charset val="134"/>
      </rPr>
      <t>轻击一次，对目标施加【禁疗】直到你的下个回合开始。</t>
    </r>
    <r>
      <rPr>
        <sz val="14"/>
        <color rgb="FF843E0B"/>
        <rFont val="微软雅黑"/>
        <charset val="134"/>
      </rPr>
      <t xml:space="preserve">
</t>
    </r>
    <r>
      <rPr>
        <sz val="14"/>
        <color rgb="FF843E0B"/>
        <rFont val="微软雅黑"/>
        <charset val="134"/>
      </rPr>
      <t>如果目标拥有【决斗】，无需轻击。</t>
    </r>
  </si>
  <si>
    <r>
      <rPr>
        <sz val="14"/>
        <color rgb="FF0070C0"/>
        <rFont val="微软雅黑"/>
        <charset val="134"/>
      </rPr>
      <t>获得5个移动位，直到本回合结束自身所有移动视为【突袭】。</t>
    </r>
    <r>
      <rPr>
        <sz val="14"/>
        <color rgb="FF0070C0"/>
        <rFont val="微软雅黑"/>
        <charset val="134"/>
      </rPr>
      <t xml:space="preserve">
</t>
    </r>
    <r>
      <rPr>
        <sz val="14"/>
        <color rgb="FF0070C0"/>
        <rFont val="微软雅黑"/>
        <charset val="134"/>
      </rPr>
      <t>每场战斗限一次。</t>
    </r>
  </si>
  <si>
    <t>对自身施加【屏障16】
如果自身拥有【决斗】，
改为【屏障24】。</t>
  </si>
  <si>
    <t>名称</t>
  </si>
  <si>
    <t>如我西沉</t>
  </si>
  <si>
    <t>一剑封喉</t>
  </si>
  <si>
    <t>断罪</t>
  </si>
  <si>
    <t>陷阵之志</t>
  </si>
  <si>
    <t>凯旋</t>
  </si>
  <si>
    <r>
      <rPr>
        <b/>
        <sz val="12"/>
        <color rgb="FFD9D9D9"/>
        <rFont val="微软雅黑"/>
        <charset val="134"/>
      </rPr>
      <t>物抗</t>
    </r>
    <r>
      <rPr>
        <b/>
        <sz val="12"/>
        <color rgb="FFD9D9D9"/>
        <rFont val="微软雅黑"/>
        <charset val="134"/>
      </rPr>
      <t xml:space="preserve">
</t>
    </r>
    <r>
      <rPr>
        <b/>
        <sz val="12"/>
        <color rgb="FFD9D9D9"/>
        <rFont val="微软雅黑"/>
        <charset val="134"/>
      </rPr>
      <t>算法</t>
    </r>
  </si>
  <si>
    <t>血战不止</t>
  </si>
  <si>
    <r>
      <rPr>
        <b/>
        <sz val="11"/>
        <color rgb="FF000000"/>
        <rFont val="微软雅黑"/>
        <charset val="134"/>
      </rPr>
      <t>全场</t>
    </r>
    <r>
      <rPr>
        <b/>
        <sz val="11"/>
        <color rgb="FF000000"/>
        <rFont val="微软雅黑"/>
        <charset val="134"/>
      </rPr>
      <t xml:space="preserve">
</t>
    </r>
    <r>
      <rPr>
        <b/>
        <sz val="11"/>
        <color rgb="FF000000"/>
        <rFont val="微软雅黑"/>
        <charset val="134"/>
      </rPr>
      <t>（或距离12）</t>
    </r>
  </si>
  <si>
    <r>
      <rPr>
        <b/>
        <sz val="12"/>
        <color rgb="FFD9D9D9"/>
        <rFont val="微软雅黑"/>
        <charset val="134"/>
      </rPr>
      <t>法抗</t>
    </r>
    <r>
      <rPr>
        <b/>
        <sz val="12"/>
        <color rgb="FFD9D9D9"/>
        <rFont val="微软雅黑"/>
        <charset val="134"/>
      </rPr>
      <t xml:space="preserve">
</t>
    </r>
    <r>
      <rPr>
        <b/>
        <sz val="12"/>
        <color rgb="FFD9D9D9"/>
        <rFont val="微软雅黑"/>
        <charset val="134"/>
      </rPr>
      <t>算法</t>
    </r>
  </si>
  <si>
    <r>
      <rPr>
        <sz val="11"/>
        <color rgb="FF000000"/>
        <rFont val="微软雅黑"/>
        <charset val="134"/>
      </rPr>
      <t>触发天赋【血战】后，</t>
    </r>
    <r>
      <rPr>
        <sz val="11"/>
        <color rgb="FF3C5F21"/>
        <rFont val="微软雅黑"/>
        <charset val="134"/>
      </rPr>
      <t>可以无消耗的施放一次【决斗】。你可以在一场战斗中发动2次【血战】</t>
    </r>
    <r>
      <rPr>
        <sz val="11"/>
        <color rgb="FF000000"/>
        <rFont val="微软雅黑"/>
        <charset val="134"/>
      </rPr>
      <t>，但第二次发动【血战】时额外消耗2点耐力。</t>
    </r>
  </si>
  <si>
    <t>击倒目标时，恢复等同于击倒攻击检定结果的HP。</t>
  </si>
  <si>
    <r>
      <rPr>
        <b/>
        <sz val="12"/>
        <color rgb="FFD9D9D9"/>
        <rFont val="微软雅黑"/>
        <charset val="134"/>
      </rPr>
      <t>生命值</t>
    </r>
    <r>
      <rPr>
        <b/>
        <sz val="12"/>
        <color rgb="FFD9D9D9"/>
        <rFont val="微软雅黑"/>
        <charset val="134"/>
      </rPr>
      <t xml:space="preserve">
</t>
    </r>
    <r>
      <rPr>
        <b/>
        <sz val="12"/>
        <color rgb="FFD9D9D9"/>
        <rFont val="微软雅黑"/>
        <charset val="134"/>
      </rPr>
      <t>算法</t>
    </r>
  </si>
  <si>
    <r>
      <rPr>
        <sz val="10"/>
        <color rgb="FFC00000"/>
        <rFont val="微软雅黑"/>
        <charset val="134"/>
      </rPr>
      <t>指定战术格，【引导】至自身下回合开始。</t>
    </r>
    <r>
      <rPr>
        <sz val="10"/>
        <color rgb="FFC00000"/>
        <rFont val="微软雅黑"/>
        <charset val="134"/>
      </rPr>
      <t xml:space="preserve">
</t>
    </r>
    <r>
      <rPr>
        <sz val="10"/>
        <color rgb="FFC00000"/>
        <rFont val="微软雅黑"/>
        <charset val="134"/>
      </rPr>
      <t>【引导】期间离开战场。【引导】完成时，空降至指定战术格，对生效范围内的敌方单位攻击一次。在该回合结束后，你回到技艺释放前的位置。</t>
    </r>
  </si>
  <si>
    <t>攻击一次，攻击检定的结果增加目标已损失生命值一半的数值。（最多额外增加20点）</t>
  </si>
  <si>
    <t>攻击一次，该次攻击检定获得一个奖励骰。攻击时，投掷一枚D20，若出目为1，则本次攻击造成的伤害提升至1000%。</t>
  </si>
  <si>
    <r>
      <rPr>
        <sz val="12"/>
        <color rgb="FF000000"/>
        <rFont val="微软雅黑"/>
        <charset val="134"/>
      </rPr>
      <t>在回合开始时可发动。</t>
    </r>
    <r>
      <rPr>
        <sz val="12"/>
        <color rgb="FF000000"/>
        <rFont val="微软雅黑"/>
        <charset val="134"/>
      </rPr>
      <t xml:space="preserve">
</t>
    </r>
    <r>
      <rPr>
        <sz val="12"/>
        <color rgb="FF0070C0"/>
        <rFont val="微软雅黑"/>
        <charset val="134"/>
      </rPr>
      <t>在本回合中，每击倒一个单位，就获得1个主要行动与1个快速行动。</t>
    </r>
    <r>
      <rPr>
        <sz val="12"/>
        <color rgb="FF000000"/>
        <rFont val="微软雅黑"/>
        <charset val="134"/>
      </rPr>
      <t>每场战斗限一次。</t>
    </r>
  </si>
  <si>
    <t>风格描述</t>
  </si>
  <si>
    <t>天赋</t>
  </si>
  <si>
    <t>一技能</t>
  </si>
  <si>
    <t>二技能</t>
  </si>
  <si>
    <t>三技能</t>
  </si>
  <si>
    <t>被动技能</t>
  </si>
  <si>
    <t>额外技能</t>
  </si>
  <si>
    <r>
      <rPr>
        <b/>
        <sz val="20"/>
        <color theme="0" tint="-0.05"/>
        <rFont val="微软雅黑"/>
        <charset val="134"/>
      </rPr>
      <t>无畏者</t>
    </r>
    <r>
      <rPr>
        <b/>
        <sz val="16"/>
        <color theme="0" tint="-0.05"/>
        <rFont val="微软雅黑"/>
        <charset val="134"/>
      </rPr>
      <t xml:space="preserve">
非法术</t>
    </r>
  </si>
  <si>
    <r>
      <rPr>
        <sz val="10.5"/>
        <color theme="1"/>
        <rFont val="宋体"/>
        <charset val="134"/>
      </rPr>
      <t>在这一阶段，无畏者已经表现出了相较于常人更为明显和突出的单兵作战能力。或许是近卫学院刚毕业的优秀新生，或许是佣兵团伙中初入行的底层佣兵，也或许是从一些武术学家出来游学的小辈，甚至是萨尔贡雨林中崇尚武力的阿达克利斯</t>
    </r>
    <r>
      <rPr>
        <sz val="10.5"/>
        <color theme="1"/>
        <rFont val="Calibri"/>
        <charset val="134"/>
      </rPr>
      <t>......</t>
    </r>
    <r>
      <rPr>
        <sz val="10.5"/>
        <color theme="1"/>
        <rFont val="宋体"/>
        <charset val="134"/>
      </rPr>
      <t>无论你是什么身份，你都已经在战斗方面积累了一些经验</t>
    </r>
    <r>
      <rPr>
        <sz val="10.5"/>
        <color theme="1"/>
        <rFont val="Calibri"/>
        <charset val="134"/>
      </rPr>
      <t>——</t>
    </r>
    <r>
      <rPr>
        <sz val="10.5"/>
        <color theme="1"/>
        <rFont val="宋体"/>
        <charset val="134"/>
      </rPr>
      <t>哪怕只是纸面上的经验，也足以让你在普通人中脱颖而出。
在经久的锻炼下，相比于普通人，你的身躯更加健壮，你的臂膀更加有力，学习的战斗技巧虽然青涩，但也可以更加轻松地做到一些普通人难以做到的一些事情：搬运重物，长途跋涉，讨伐一些低级野兽的巢穴，击退来犯的歹人。在同阶级的对抗中，你也占有优势，或许你还无法处理敌人一拥而上，但在单挑中你将从不怯场。</t>
    </r>
  </si>
  <si>
    <r>
      <rPr>
        <b/>
        <sz val="11"/>
        <rFont val="微软雅黑"/>
        <charset val="134"/>
      </rPr>
      <t>健步如飞：</t>
    </r>
    <r>
      <rPr>
        <sz val="11"/>
        <rFont val="微软雅黑"/>
        <charset val="134"/>
      </rPr>
      <t xml:space="preserve">
通过移动预备获得的移动位+1
</t>
    </r>
  </si>
  <si>
    <r>
      <rPr>
        <b/>
        <sz val="11"/>
        <rFont val="微软雅黑"/>
        <charset val="134"/>
      </rPr>
      <t>跃击:</t>
    </r>
    <r>
      <rPr>
        <sz val="11"/>
        <rFont val="微软雅黑"/>
        <charset val="134"/>
      </rPr>
      <t xml:space="preserve">
消耗主要行动与3SP
移动至释放范围内的一个战术格，攻击一次。
若目标有【标记】，攻击检定时获得一个奖励骰。</t>
    </r>
  </si>
  <si>
    <r>
      <rPr>
        <b/>
        <sz val="11"/>
        <rFont val="微软雅黑"/>
        <charset val="134"/>
      </rPr>
      <t>剑柄打击：</t>
    </r>
    <r>
      <rPr>
        <sz val="11"/>
        <rFont val="微软雅黑"/>
        <charset val="134"/>
      </rPr>
      <t xml:space="preserve">
消耗快速行动
轻击一次，对目标施加【标记】</t>
    </r>
  </si>
  <si>
    <r>
      <rPr>
        <b/>
        <sz val="11"/>
        <rFont val="微软雅黑"/>
        <charset val="134"/>
      </rPr>
      <t>箭步：</t>
    </r>
    <r>
      <rPr>
        <sz val="11"/>
        <rFont val="微软雅黑"/>
        <charset val="134"/>
      </rPr>
      <t xml:space="preserve">
消耗快速行动与3SP
突袭3格。</t>
    </r>
  </si>
  <si>
    <r>
      <rPr>
        <b/>
        <sz val="11"/>
        <rFont val="微软雅黑"/>
        <charset val="134"/>
      </rPr>
      <t>凝神：</t>
    </r>
    <r>
      <rPr>
        <sz val="11"/>
        <rFont val="微软雅黑"/>
        <charset val="134"/>
      </rPr>
      <t xml:space="preserve">
攻击时，若消耗了主要行动，获得一个奖励骰。</t>
    </r>
  </si>
  <si>
    <r>
      <rPr>
        <b/>
        <sz val="11"/>
        <rFont val="微软雅黑"/>
        <charset val="134"/>
      </rPr>
      <t xml:space="preserve">重整旗鼓：
</t>
    </r>
    <r>
      <rPr>
        <sz val="11"/>
        <rFont val="微软雅黑"/>
        <charset val="134"/>
      </rPr>
      <t>消耗主要行动与3SP
恢复16HP。
每进入一个新的精英化阶段，额外恢复8HP。</t>
    </r>
  </si>
  <si>
    <t>分支特性</t>
  </si>
  <si>
    <t>穿戴重甲，具有高生命值
每个回合开始时，恢复2SP
每进入一个新的精英化阶段，额外恢复1SP</t>
  </si>
  <si>
    <t>在这一阶段，无畏者已经经历过多次战斗，积累了相对丰富的经验，已经从初出茅庐的新人成长为值得信赖的老将。或许是已经参与过数次战斗而得到军衔晋升的士兵，或许是武装团伙中因突出表现而被提拔为干部甚至成为头目，或许完成过数次任务而成为了部分中小型势力的精锐单位......你的单兵作战能力已经领先于和你同一层面的大部分人，而你也完全担当的起“佼佼者”这个名号。
你的身体机能达到了一个新的境界，大部分寻常所见的重物你已经可以徒手抬起，普通的大门或墙壁也无法阻挡你的蛮力破坏，挨在一起的楼与楼之间的距离可以被你一跃而过，战斗技巧的特殊性更让你在同阶级的战斗中从不处于劣势——仅你一人便可以完成一些团伙也做不到的事情，在泰拉普通人眼里你几乎可称得上是超人，而同样在与你一样以战斗为生的人眼里你也已经不是无名小卒，而是不得不注意的威胁。</t>
  </si>
  <si>
    <r>
      <rPr>
        <b/>
        <sz val="11"/>
        <rFont val="微软雅黑"/>
        <charset val="134"/>
      </rPr>
      <t>迅捷出击：</t>
    </r>
    <r>
      <rPr>
        <sz val="11"/>
        <rFont val="微软雅黑"/>
        <charset val="134"/>
      </rPr>
      <t xml:space="preserve">
在首个回合开始时，额外获得
5个移动位</t>
    </r>
  </si>
  <si>
    <r>
      <rPr>
        <b/>
        <sz val="11"/>
        <rFont val="微软雅黑"/>
        <charset val="134"/>
      </rPr>
      <t>赐死：</t>
    </r>
    <r>
      <rPr>
        <sz val="11"/>
        <rFont val="微软雅黑"/>
        <charset val="134"/>
      </rPr>
      <t xml:space="preserve">
消耗主要行动与5SP
攻击两次
若目标有【标记】，则该技艺的攻击检定获得骰面升级。</t>
    </r>
  </si>
  <si>
    <r>
      <rPr>
        <b/>
        <sz val="11"/>
        <rFont val="微软雅黑"/>
        <charset val="134"/>
      </rPr>
      <t>愤怒：</t>
    </r>
    <r>
      <rPr>
        <sz val="11"/>
        <rFont val="微软雅黑"/>
        <charset val="134"/>
      </rPr>
      <t xml:space="preserve">
消耗快速行动与2SP
获得3个移动位
攻击检定获得骰面升级，持续至回合结束一次。</t>
    </r>
  </si>
  <si>
    <r>
      <rPr>
        <b/>
        <sz val="11"/>
        <rFont val="微软雅黑"/>
        <charset val="134"/>
      </rPr>
      <t>平静：</t>
    </r>
    <r>
      <rPr>
        <sz val="11"/>
        <rFont val="微软雅黑"/>
        <charset val="134"/>
      </rPr>
      <t xml:space="preserve">
消耗快速行动
清除自身任意一个状态。</t>
    </r>
  </si>
  <si>
    <r>
      <rPr>
        <b/>
        <sz val="11"/>
        <rFont val="微软雅黑"/>
        <charset val="134"/>
      </rPr>
      <t>交锋：</t>
    </r>
    <r>
      <rPr>
        <sz val="11"/>
        <rFont val="微软雅黑"/>
        <charset val="134"/>
      </rPr>
      <t xml:space="preserve">
攻击时，若自身处在目标的正前方，获得骰面升级。</t>
    </r>
  </si>
  <si>
    <r>
      <rPr>
        <b/>
        <sz val="11"/>
        <rFont val="微软雅黑"/>
        <charset val="134"/>
      </rPr>
      <t>绝望突破：</t>
    </r>
    <r>
      <rPr>
        <sz val="11"/>
        <rFont val="微软雅黑"/>
        <charset val="134"/>
      </rPr>
      <t xml:space="preserve">
反应动作
消耗1耐力
清除自身所有状态
每场战斗限一次。</t>
    </r>
  </si>
  <si>
    <t>武器适用
攻击类型</t>
  </si>
  <si>
    <t>伤害骰面为D6的近战物理武器。
通常是各式刀剑，也包括部分长兵。
能够在较近距离发动兼具力量与速度的物理攻击。比起其他武器，更注重使用者的躯体能力。</t>
  </si>
  <si>
    <t>在这一阶段，无畏者已经历经百战，成为了强大的代名词。或许是率领队伍打赢战役的名将，或许是一些有着响亮名声的武装团体中的领头人之一，甚至是一些国家级势力的精锐单位——你的实力已经站在了泰拉普遍意义上的最高一层。在中小型势力眼中难以解决的麻烦你已可以一人摆平，从听从作战计划的身份到了参与定制作战计划的身份，乃至于自身的个人能力就是一部分作战计划的核心。你的实力有目共睹，你的强大难以掩饰。
你的身体机能已经超越了绝大多数的泰拉人，甚至一部分泰拉生物也比不过你千锤百炼的肉体。你可以从几十层高的楼跳下而毫发无伤，你可以仅凭蛮力便击穿一些较为坚固的墙壁和造物，若你全力投掷一颗小石子也可以扔出堪比弩箭的速度，若你全力奔跑可以凭速度和肉身撞穿一些民用的建筑物。没有人会小觑无畏者的个人能力，乃至于若有人摸清楚你的底细，便必然对你有所防备和针对——绝大部分人不会愿意看见一个这样的无畏者站在自己的对立面。</t>
  </si>
  <si>
    <r>
      <rPr>
        <b/>
        <sz val="11"/>
        <rFont val="微软雅黑"/>
        <charset val="134"/>
      </rPr>
      <t>血战：</t>
    </r>
    <r>
      <rPr>
        <sz val="11"/>
        <rFont val="微软雅黑"/>
        <charset val="134"/>
      </rPr>
      <t xml:space="preserve">
无畏者的生命值归零时，可
消耗1耐力，不进入濒死并立刻清除自身所有状态，使得当前生命值上限减少50%，恢复所有生命值。
所有检定骰面升级，持续至回合结束一次。
每场战斗仅限一次，</t>
    </r>
  </si>
  <si>
    <r>
      <rPr>
        <b/>
        <sz val="11"/>
        <rFont val="微软雅黑"/>
        <charset val="134"/>
      </rPr>
      <t>终结：</t>
    </r>
    <r>
      <rPr>
        <sz val="11"/>
        <rFont val="微软雅黑"/>
        <charset val="134"/>
      </rPr>
      <t xml:space="preserve">
消耗主要行动与7SP
攻击一次。若目标没有【标记】，施加【标记】
若目标有【标记】，则该技艺的攻击会【暴击】。</t>
    </r>
  </si>
  <si>
    <r>
      <rPr>
        <b/>
        <sz val="11"/>
        <rFont val="微软雅黑"/>
        <charset val="134"/>
      </rPr>
      <t>残废打击：</t>
    </r>
    <r>
      <rPr>
        <sz val="11"/>
        <rFont val="微软雅黑"/>
        <charset val="134"/>
      </rPr>
      <t xml:space="preserve">
消耗快速行动
轻击一次，对目标施加【沉默】或【战栗】或【震颤】，持续至目标下个回合结束。</t>
    </r>
  </si>
  <si>
    <r>
      <rPr>
        <b/>
        <sz val="11"/>
        <rFont val="微软雅黑"/>
        <charset val="134"/>
      </rPr>
      <t>战术奔袭：</t>
    </r>
    <r>
      <rPr>
        <sz val="11"/>
        <rFont val="微软雅黑"/>
        <charset val="134"/>
      </rPr>
      <t xml:space="preserve">
消耗1耐力，获得5个移动位，每回合限一次。</t>
    </r>
  </si>
  <si>
    <r>
      <rPr>
        <b/>
        <sz val="11"/>
        <rFont val="微软雅黑"/>
        <charset val="134"/>
      </rPr>
      <t>专注：</t>
    </r>
    <r>
      <rPr>
        <sz val="11"/>
        <rFont val="微软雅黑"/>
        <charset val="134"/>
      </rPr>
      <t xml:space="preserve">
自身攻击范围之外的目标对自身造成伤害时，获得一个惩罚骰</t>
    </r>
  </si>
  <si>
    <r>
      <rPr>
        <b/>
        <sz val="11"/>
        <rFont val="微软雅黑"/>
        <charset val="134"/>
      </rPr>
      <t>岿然不动：</t>
    </r>
    <r>
      <rPr>
        <sz val="11"/>
        <rFont val="微软雅黑"/>
        <charset val="134"/>
      </rPr>
      <t xml:space="preserve">
消耗主要行动，7SP与1耐力
获得【护盾4】</t>
    </r>
  </si>
  <si>
    <t>驭法铁卫</t>
  </si>
  <si>
    <r>
      <rPr>
        <b/>
        <sz val="10"/>
        <color theme="0" tint="-0.15"/>
        <rFont val="微软雅黑"/>
        <charset val="134"/>
      </rPr>
      <t>穿戴</t>
    </r>
    <r>
      <rPr>
        <b/>
        <u/>
        <sz val="10"/>
        <color theme="0"/>
        <rFont val="微软雅黑"/>
        <charset val="134"/>
      </rPr>
      <t>重甲</t>
    </r>
    <r>
      <rPr>
        <b/>
        <sz val="10"/>
        <color theme="0" tint="-0.15"/>
        <rFont val="微软雅黑"/>
        <charset val="134"/>
      </rPr>
      <t>，具有</t>
    </r>
    <r>
      <rPr>
        <b/>
        <u/>
        <sz val="10"/>
        <color theme="0"/>
        <rFont val="微软雅黑"/>
        <charset val="134"/>
      </rPr>
      <t>高生命值</t>
    </r>
    <r>
      <rPr>
        <b/>
        <sz val="10"/>
        <color theme="0" tint="-0.15"/>
        <rFont val="微软雅黑"/>
        <charset val="134"/>
      </rPr>
      <t xml:space="preserve">
擅长通过多变的法术保护队友的承伤职业</t>
    </r>
  </si>
  <si>
    <r>
      <rPr>
        <b/>
        <sz val="10"/>
        <color theme="0" tint="-0.15"/>
        <rFont val="微软雅黑"/>
        <charset val="134"/>
      </rPr>
      <t>伤害骰面为</t>
    </r>
    <r>
      <rPr>
        <b/>
        <u/>
        <sz val="10"/>
        <color theme="0"/>
        <rFont val="微软雅黑"/>
        <charset val="134"/>
      </rPr>
      <t>D4</t>
    </r>
    <r>
      <rPr>
        <b/>
        <sz val="10"/>
        <color theme="0" tint="-0.15"/>
        <rFont val="微软雅黑"/>
        <charset val="134"/>
      </rPr>
      <t>的</t>
    </r>
    <r>
      <rPr>
        <b/>
        <u/>
        <sz val="10"/>
        <color theme="0"/>
        <rFont val="微软雅黑"/>
        <charset val="134"/>
      </rPr>
      <t>近战物理</t>
    </r>
    <r>
      <rPr>
        <b/>
        <sz val="10"/>
        <color theme="0" tint="-0.15"/>
        <rFont val="微软雅黑"/>
        <charset val="134"/>
      </rPr>
      <t>武器
通常是各类的盾牌，以及用于辅助盾牌的施法媒介。能够行之有效地抵挡，甚至是造成法术伤害</t>
    </r>
  </si>
  <si>
    <t>受到法术伤害时回复2SP，受到物理伤害时回复1SP。一轮最多以此法回复4SP</t>
  </si>
  <si>
    <t>通识技能*2.5+3+持盾技能</t>
  </si>
  <si>
    <t>通识技能*3.5+4+持盾技能</t>
  </si>
  <si>
    <t>HP=(生理耐受/6+3)*(当前等级-1)+生理耐受*3.5</t>
  </si>
  <si>
    <t>、</t>
  </si>
  <si>
    <t>迅剑</t>
  </si>
  <si>
    <t>佯攻</t>
  </si>
  <si>
    <t>迅剑突刺</t>
  </si>
  <si>
    <t>半月斩</t>
  </si>
  <si>
    <t>剑豪</t>
  </si>
  <si>
    <t>斜吃</t>
  </si>
  <si>
    <t>利刃华尔兹</t>
  </si>
  <si>
    <r>
      <rPr>
        <sz val="14"/>
        <color rgb="FF0070C0"/>
        <rFont val="微软雅黑"/>
        <charset val="134"/>
      </rPr>
      <t>剑豪从</t>
    </r>
    <r>
      <rPr>
        <b/>
        <sz val="14"/>
        <color rgb="FF0070C0"/>
        <rFont val="微软雅黑"/>
        <charset val="134"/>
      </rPr>
      <t>侧面</t>
    </r>
    <r>
      <rPr>
        <sz val="14"/>
        <color rgb="FF0070C0"/>
        <rFont val="微软雅黑"/>
        <charset val="134"/>
      </rPr>
      <t>对目标进行的普通攻击命中，额外轻击目标一次。
若剑豪的普通攻击命中，而目标不具有朝向，回复1SP</t>
    </r>
  </si>
  <si>
    <t>被标记的单位</t>
  </si>
  <si>
    <t>剑豪攻击命中后，
会获得1移动位。</t>
  </si>
  <si>
    <r>
      <rPr>
        <b/>
        <sz val="10"/>
        <color rgb="FFD9D9D9"/>
        <rFont val="微软雅黑"/>
        <charset val="134"/>
      </rPr>
      <t>穿戴</t>
    </r>
    <r>
      <rPr>
        <b/>
        <u/>
        <sz val="10"/>
        <color rgb="FFFFFFFF"/>
        <rFont val="微软雅黑"/>
        <charset val="134"/>
      </rPr>
      <t>中甲</t>
    </r>
    <r>
      <rPr>
        <b/>
        <sz val="10"/>
        <color rgb="FFD9D9D9"/>
        <rFont val="微软雅黑"/>
        <charset val="134"/>
      </rPr>
      <t>，具有</t>
    </r>
    <r>
      <rPr>
        <b/>
        <u/>
        <sz val="10"/>
        <color rgb="FFFFFFFF"/>
        <rFont val="微软雅黑"/>
        <charset val="134"/>
      </rPr>
      <t>高生命值</t>
    </r>
    <r>
      <rPr>
        <b/>
        <sz val="10"/>
        <color rgb="FFD9D9D9"/>
        <rFont val="微软雅黑"/>
        <charset val="134"/>
      </rPr>
      <t xml:space="preserve">
擅长短时间内造成多次攻击的近战输出职业。</t>
    </r>
  </si>
  <si>
    <t>攻击一次，移除目标的【标记】。</t>
  </si>
  <si>
    <r>
      <rPr>
        <sz val="14"/>
        <color rgb="FF0070C0"/>
        <rFont val="微软雅黑"/>
        <charset val="134"/>
      </rPr>
      <t>轻击两次。</t>
    </r>
    <r>
      <rPr>
        <sz val="14"/>
        <color rgb="FF843C0B"/>
        <rFont val="微软雅黑"/>
        <charset val="134"/>
      </rPr>
      <t xml:space="preserve">
若两次攻击都命中，施加【标记】</t>
    </r>
  </si>
  <si>
    <t>攻击一次并移除【标记】，
使自身直到下个自己回合开始的所有主动移动变为【突袭】。</t>
  </si>
  <si>
    <t>攻击一次，该次攻击骰面升级，对所有目标造成伤害。</t>
  </si>
  <si>
    <r>
      <rPr>
        <b/>
        <sz val="10"/>
        <color theme="0" tint="-0.15"/>
        <rFont val="微软雅黑"/>
        <charset val="134"/>
      </rPr>
      <t>伤害骰面为</t>
    </r>
    <r>
      <rPr>
        <b/>
        <u/>
        <sz val="10"/>
        <color theme="0"/>
        <rFont val="微软雅黑"/>
        <charset val="134"/>
      </rPr>
      <t>D6</t>
    </r>
    <r>
      <rPr>
        <b/>
        <sz val="10"/>
        <color theme="0" tint="-0.15"/>
        <rFont val="微软雅黑"/>
        <charset val="134"/>
      </rPr>
      <t>的</t>
    </r>
    <r>
      <rPr>
        <b/>
        <u/>
        <sz val="10"/>
        <color theme="0"/>
        <rFont val="微软雅黑"/>
        <charset val="134"/>
      </rPr>
      <t>近战物理</t>
    </r>
    <r>
      <rPr>
        <b/>
        <sz val="10"/>
        <color theme="0" tint="-0.15"/>
        <rFont val="微软雅黑"/>
        <charset val="134"/>
      </rPr>
      <t>武器
通常是各式轻快或双持刀剑。
能够在较近距离发动接二连三的物理攻击。</t>
    </r>
  </si>
  <si>
    <t>鞘击</t>
  </si>
  <si>
    <t>持刀格斗</t>
  </si>
  <si>
    <t>旋风斩</t>
  </si>
  <si>
    <t>穷追猛打</t>
  </si>
  <si>
    <t>斩血</t>
  </si>
  <si>
    <r>
      <rPr>
        <sz val="14"/>
        <color rgb="FF0070C0"/>
        <rFont val="微软雅黑"/>
        <charset val="134"/>
      </rPr>
      <t>普通攻击命中具有【标记】的目标后，额外轻击目标一次。</t>
    </r>
    <r>
      <rPr>
        <sz val="14"/>
        <color rgb="FFC00000"/>
        <rFont val="微软雅黑"/>
        <charset val="134"/>
      </rPr>
      <t xml:space="preserve">
</t>
    </r>
    <r>
      <rPr>
        <sz val="14"/>
        <color rgb="FF843C0B"/>
        <rFont val="微软雅黑"/>
        <charset val="134"/>
      </rPr>
      <t>在同一回合内攻击了同一目标三次后，对其施加【标记】。</t>
    </r>
  </si>
  <si>
    <t>剑豪攻击命中时，
额外造成1点组织损伤。</t>
  </si>
  <si>
    <t>普通攻击或轻击命中后，回复2SP。
同一轮次内，至多以此法回复4SP。
每进入一个新的精英化阶段，该上限增加2点。</t>
  </si>
  <si>
    <t>获得5SP。每轮只能施放一次。</t>
  </si>
  <si>
    <t>轻击一次，施加【眩晕】</t>
  </si>
  <si>
    <t>仅作为反应动作，在即将遭到近战攻击时释放。使用攻击检定，与攻击来源的检定进行对抗，若对抗成功，抵消本次攻击。</t>
  </si>
  <si>
    <t>攻击两次，对所有目标造成伤害。【引导】至下回合开始，【引导】结束后，无消耗地重新释放一次该技艺。</t>
  </si>
  <si>
    <t>异刃斩</t>
  </si>
  <si>
    <t>避实击虚</t>
  </si>
  <si>
    <t>绝影突袭</t>
  </si>
  <si>
    <t>削铁如泥</t>
  </si>
  <si>
    <t>连破</t>
  </si>
  <si>
    <t>每次攻击时，
使受击目标的物理抗性降低2，
对同一目标至多降低10点。</t>
  </si>
  <si>
    <t>你无视拥有任意【负面状态】的目标10点物理抗性。</t>
  </si>
  <si>
    <t>攻击两次，
对所有目标造成伤害。</t>
  </si>
  <si>
    <r>
      <rPr>
        <sz val="12"/>
        <color rgb="FFC00000"/>
        <rFont val="微软雅黑"/>
        <charset val="134"/>
      </rPr>
      <t>轻击一次，</t>
    </r>
    <r>
      <rPr>
        <sz val="12"/>
        <color rgb="FF843C0B"/>
        <rFont val="微软雅黑"/>
        <charset val="134"/>
      </rPr>
      <t>施加【标记】</t>
    </r>
    <r>
      <rPr>
        <sz val="12"/>
        <color rgb="FFC00000"/>
        <rFont val="微软雅黑"/>
        <charset val="134"/>
      </rPr>
      <t>。</t>
    </r>
    <r>
      <rPr>
        <sz val="12"/>
        <color rgb="FF385723"/>
        <rFont val="微软雅黑"/>
        <charset val="134"/>
      </rPr>
      <t>无论是否命中，对自身施加【魅影】。可作为反应动作，在即将遭到攻击，且攻击范围内有可用的目标时释放</t>
    </r>
  </si>
  <si>
    <t>获得【迅捷】，
在下个回合，额外获得一个主要行动</t>
  </si>
  <si>
    <r>
      <rPr>
        <sz val="12"/>
        <color rgb="FFC00000"/>
        <rFont val="微软雅黑"/>
        <charset val="134"/>
      </rPr>
      <t>攻击五次，任意地分配到所有目标上。开始【引导】，期间获得【迷彩】，【引导】结束时，攻击释放范围内的单个单位一次，</t>
    </r>
    <r>
      <rPr>
        <sz val="12"/>
        <color rgb="FF843C0B"/>
        <rFont val="微软雅黑"/>
        <charset val="134"/>
      </rPr>
      <t>施加【眩晕】</t>
    </r>
    <r>
      <rPr>
        <sz val="12"/>
        <color rgb="FFC00000"/>
        <rFont val="微软雅黑"/>
        <charset val="134"/>
      </rPr>
      <t>。</t>
    </r>
  </si>
  <si>
    <t>决斗之舞</t>
  </si>
  <si>
    <t>快剑挑手</t>
  </si>
  <si>
    <t>封尘绝念斩</t>
  </si>
  <si>
    <t>归于宁静</t>
  </si>
  <si>
    <t>歃血</t>
  </si>
  <si>
    <t>异刃</t>
  </si>
  <si>
    <r>
      <rPr>
        <sz val="14"/>
        <color rgb="FF000000"/>
        <rFont val="微软雅黑"/>
        <charset val="134"/>
      </rPr>
      <t>剑豪在击倒一个目标、清除或触发一个标记、造成组织损伤爆发后，</t>
    </r>
    <r>
      <rPr>
        <sz val="14"/>
        <color rgb="FF385723"/>
        <rFont val="微软雅黑"/>
        <charset val="134"/>
      </rPr>
      <t>回复8HP</t>
    </r>
    <r>
      <rPr>
        <sz val="14"/>
        <color rgb="FF000000"/>
        <rFont val="微软雅黑"/>
        <charset val="134"/>
      </rPr>
      <t>或</t>
    </r>
    <r>
      <rPr>
        <sz val="14"/>
        <color rgb="FF0070C0"/>
        <rFont val="微软雅黑"/>
        <charset val="134"/>
      </rPr>
      <t>获得2SP</t>
    </r>
  </si>
  <si>
    <t>战术格</t>
  </si>
  <si>
    <t>剑豪在同一回合内的偶数次攻击获得骰面升级。若剑豪可释放源石技艺，则可将这次攻击的伤害类型改为法术。</t>
  </si>
  <si>
    <r>
      <rPr>
        <sz val="10"/>
        <color rgb="FF0070C0"/>
        <rFont val="微软雅黑"/>
        <charset val="134"/>
      </rPr>
      <t>直线【突袭】到目标战术格中</t>
    </r>
    <r>
      <rPr>
        <sz val="10"/>
        <color rgb="FF000000"/>
        <rFont val="微软雅黑"/>
        <charset val="134"/>
      </rPr>
      <t>，</t>
    </r>
    <r>
      <rPr>
        <sz val="10"/>
        <color rgb="FFC00000"/>
        <rFont val="微软雅黑"/>
        <charset val="134"/>
      </rPr>
      <t>攻击一次且骰面升级，对两战术格连线所经范围内的任意个单位造成伤害</t>
    </r>
    <r>
      <rPr>
        <sz val="10"/>
        <color rgb="FF000000"/>
        <rFont val="微软雅黑"/>
        <charset val="134"/>
      </rPr>
      <t>。</t>
    </r>
    <r>
      <rPr>
        <sz val="10"/>
        <color rgb="FFC00000"/>
        <rFont val="微软雅黑"/>
        <charset val="134"/>
      </rPr>
      <t>若击倒了至少一个单位，可立即无消耗地重新释放该技艺；若其中有单位具有【标记】，清除【标记】，随后也可立即无消耗地重新释放该技艺。</t>
    </r>
  </si>
  <si>
    <r>
      <rPr>
        <sz val="14"/>
        <color rgb="FFC00000"/>
        <rFont val="微软雅黑"/>
        <charset val="134"/>
      </rPr>
      <t>攻击一次，</t>
    </r>
    <r>
      <rPr>
        <sz val="14"/>
        <color rgb="FF843C0B"/>
        <rFont val="微软雅黑"/>
        <charset val="134"/>
      </rPr>
      <t>随后轻击一次。
若两次攻击都命中，施加【战栗】
若目标具有【标记】，额外施加【禁疗】</t>
    </r>
  </si>
  <si>
    <r>
      <rPr>
        <sz val="12"/>
        <color rgb="FF000000"/>
        <rFont val="微软雅黑"/>
        <charset val="134"/>
      </rPr>
      <t>【引导】至下一回合开始，【引导】结束时，</t>
    </r>
    <r>
      <rPr>
        <sz val="12"/>
        <color rgb="FF0070C0"/>
        <rFont val="微软雅黑"/>
        <charset val="134"/>
      </rPr>
      <t>突袭至释放范围的另一侧</t>
    </r>
    <r>
      <rPr>
        <sz val="12"/>
        <color rgb="FF000000"/>
        <rFont val="微软雅黑"/>
        <charset val="134"/>
      </rPr>
      <t>，</t>
    </r>
    <r>
      <rPr>
        <sz val="12"/>
        <color rgb="FFC00000"/>
        <rFont val="微软雅黑"/>
        <charset val="134"/>
      </rPr>
      <t>攻击两次，对其中的任意个单位造成伤害。</t>
    </r>
    <r>
      <rPr>
        <sz val="12"/>
        <color rgb="FF843C0B"/>
        <rFont val="微软雅黑"/>
        <charset val="134"/>
      </rPr>
      <t>若两次攻击都命中，额外施加【拉近5】（不会造成撞击伤害）</t>
    </r>
  </si>
  <si>
    <r>
      <rPr>
        <sz val="12"/>
        <color rgb="FFC00000"/>
        <rFont val="微软雅黑"/>
        <charset val="134"/>
      </rPr>
      <t>攻击五次，对所有目标造成伤害。【引导】至下回合开始，【引导】结束后重新攻击一次，对所有目标造成伤害，获得骰面升级，</t>
    </r>
    <r>
      <rPr>
        <sz val="12"/>
        <color rgb="FF843C0B"/>
        <rFont val="微软雅黑"/>
        <charset val="134"/>
      </rPr>
      <t>施加【拉近3】</t>
    </r>
    <r>
      <rPr>
        <sz val="12"/>
        <color rgb="FFC00000"/>
        <rFont val="微软雅黑"/>
        <charset val="134"/>
      </rPr>
      <t>。</t>
    </r>
  </si>
  <si>
    <t>跃空锤</t>
  </si>
  <si>
    <t>撕裂</t>
  </si>
  <si>
    <t>怒吼</t>
  </si>
  <si>
    <t>骨斩肉断</t>
  </si>
  <si>
    <t>强攻手</t>
  </si>
  <si>
    <t>顺劈</t>
  </si>
  <si>
    <t>力量控制</t>
  </si>
  <si>
    <t>强攻手的攻击可同时对攻击范围（或技艺的释放范围）内的至多两个单位造成伤害或施加效果，每进入一个新的精英化阶段，最大生效数量就增加一个</t>
  </si>
  <si>
    <t>单位</t>
  </si>
  <si>
    <t>自身消耗主要行动且可以命中多名目标的攻击仅命中1名目标时，回复1SP，每进入一个新的精英化阶段，额外回复1SP</t>
  </si>
  <si>
    <r>
      <rPr>
        <b/>
        <sz val="10"/>
        <color rgb="FFD9D9D9"/>
        <rFont val="微软雅黑"/>
        <charset val="134"/>
      </rPr>
      <t>穿戴</t>
    </r>
    <r>
      <rPr>
        <b/>
        <u/>
        <sz val="10"/>
        <color rgb="FFFFFFFF"/>
        <rFont val="微软雅黑"/>
        <charset val="134"/>
      </rPr>
      <t>中甲</t>
    </r>
    <r>
      <rPr>
        <b/>
        <sz val="10"/>
        <color rgb="FFD9D9D9"/>
        <rFont val="微软雅黑"/>
        <charset val="134"/>
      </rPr>
      <t>，具有</t>
    </r>
    <r>
      <rPr>
        <b/>
        <u/>
        <sz val="10"/>
        <color rgb="FFFFFFFF"/>
        <rFont val="微软雅黑"/>
        <charset val="134"/>
      </rPr>
      <t>高生命值</t>
    </r>
    <r>
      <rPr>
        <b/>
        <sz val="10"/>
        <color rgb="FFD9D9D9"/>
        <rFont val="微软雅黑"/>
        <charset val="134"/>
      </rPr>
      <t xml:space="preserve">
擅长对群体敌人造成伤害的近战输出职业。
攻击会对攻击范围所有单位造成伤害。</t>
    </r>
  </si>
  <si>
    <t>对正前方战术格进行猛击，攻击一次，该次攻击骰面升级，对生效范围内的任意个单位造成伤害，并且清除其中的民用级障碍。</t>
  </si>
  <si>
    <t>攻击一次，
若命中目标中有单位处于【标记】状态，则额外攻击一次该单位。</t>
  </si>
  <si>
    <t>轻击一次，对所有目标施加【标记】</t>
  </si>
  <si>
    <t>到下回合开始前，强攻手的HP不会低于1，除非受到单次高于HP上限的伤害。</t>
  </si>
  <si>
    <r>
      <rPr>
        <b/>
        <sz val="10"/>
        <color theme="0" tint="-0.15"/>
        <rFont val="微软雅黑"/>
        <charset val="134"/>
      </rPr>
      <t>伤害骰面为</t>
    </r>
    <r>
      <rPr>
        <b/>
        <u/>
        <sz val="10"/>
        <color theme="0"/>
        <rFont val="微软雅黑"/>
        <charset val="134"/>
      </rPr>
      <t>D6</t>
    </r>
    <r>
      <rPr>
        <b/>
        <sz val="10"/>
        <color theme="0" tint="-0.15"/>
        <rFont val="微软雅黑"/>
        <charset val="134"/>
      </rPr>
      <t>的</t>
    </r>
    <r>
      <rPr>
        <b/>
        <u/>
        <sz val="10"/>
        <color theme="0"/>
        <rFont val="微软雅黑"/>
        <charset val="134"/>
      </rPr>
      <t>近战物理</t>
    </r>
    <r>
      <rPr>
        <b/>
        <sz val="10"/>
        <color theme="0" tint="-0.15"/>
        <rFont val="微软雅黑"/>
        <charset val="134"/>
      </rPr>
      <t>武器
通常是各类需要双手使用的长柄的沉重近战武器，如重斧、链锯和爆破锤。
能够在较近距离发动势大力沉的强悍物理攻击。</t>
    </r>
  </si>
  <si>
    <t>力之锯</t>
  </si>
  <si>
    <t>拖拽强袭</t>
  </si>
  <si>
    <t>转攻为守</t>
  </si>
  <si>
    <t>和你爆了！</t>
  </si>
  <si>
    <t>战魂</t>
  </si>
  <si>
    <t>长柄管制</t>
  </si>
  <si>
    <r>
      <rPr>
        <sz val="10"/>
        <color rgb="FF385723"/>
        <rFont val="微软雅黑"/>
        <charset val="134"/>
      </rPr>
      <t>强攻手受到伤害时，可将伤害转化为等额且相互叠加的</t>
    </r>
    <r>
      <rPr>
        <sz val="10"/>
        <color rgb="FF7030A0"/>
        <rFont val="微软雅黑"/>
        <charset val="134"/>
      </rPr>
      <t>【创伤X】</t>
    </r>
    <r>
      <rPr>
        <sz val="10"/>
        <color rgb="FF385723"/>
        <rFont val="微软雅黑"/>
        <charset val="134"/>
      </rPr>
      <t>（X不可高于HP上限的50%）
强攻手的回合结束时，需要对自身造成至少等同于</t>
    </r>
    <r>
      <rPr>
        <sz val="10"/>
        <color rgb="FF7030A0"/>
        <rFont val="微软雅黑"/>
        <charset val="134"/>
      </rPr>
      <t>【创伤】</t>
    </r>
    <r>
      <rPr>
        <sz val="10"/>
        <color rgb="FF385723"/>
        <rFont val="微软雅黑"/>
        <charset val="134"/>
      </rPr>
      <t>层数50%的真实伤害，并减少等同于真实伤害值的</t>
    </r>
    <r>
      <rPr>
        <sz val="10"/>
        <color rgb="FF7030A0"/>
        <rFont val="微软雅黑"/>
        <charset val="134"/>
      </rPr>
      <t>【创伤】</t>
    </r>
    <r>
      <rPr>
        <sz val="10"/>
        <color rgb="FF385723"/>
        <rFont val="微软雅黑"/>
        <charset val="134"/>
      </rPr>
      <t xml:space="preserve">层数。
强攻手受到治疗时，会优先扣除等同于治疗量的
</t>
    </r>
    <r>
      <rPr>
        <sz val="10"/>
        <color rgb="FF7030A0"/>
        <rFont val="微软雅黑"/>
        <charset val="134"/>
      </rPr>
      <t>【创伤】</t>
    </r>
    <r>
      <rPr>
        <sz val="10"/>
        <color rgb="FF385723"/>
        <rFont val="微软雅黑"/>
        <charset val="134"/>
      </rPr>
      <t>层数。</t>
    </r>
  </si>
  <si>
    <t>控制区扩大至如图所示
但攻击中心8范围之外
的目标时无法触发
【顺劈】</t>
  </si>
  <si>
    <t>你的回合结束时恢复1SP
每进入一个新的精英化阶段，额外恢复1SP
每回合的首次攻击每命中一个目标，就恢复1SP</t>
  </si>
  <si>
    <t>【引导】至下回合开始，【引导】期间攻击范围变更为释放范围，有任意单位在攻击范围内开始回合，结束回合，或通过移动进入或离开攻击范围时，强攻手都会立即对其进行一次攻击</t>
  </si>
  <si>
    <r>
      <rPr>
        <sz val="12"/>
        <color rgb="FFC00000"/>
        <rFont val="微软雅黑"/>
        <charset val="134"/>
      </rPr>
      <t>攻击一次，</t>
    </r>
    <r>
      <rPr>
        <sz val="12"/>
        <color rgb="FF000000"/>
        <rFont val="微软雅黑"/>
        <charset val="134"/>
      </rPr>
      <t xml:space="preserve">
</t>
    </r>
    <r>
      <rPr>
        <sz val="12"/>
        <color rgb="FF0070C0"/>
        <rFont val="微软雅黑"/>
        <charset val="134"/>
      </rPr>
      <t>从正前方一格对所有目标施加【拉近3】</t>
    </r>
  </si>
  <si>
    <t>进行一次攻击检定，获得等同于检定结果的物理抗性，持续至下回合开始。</t>
  </si>
  <si>
    <r>
      <rPr>
        <sz val="11"/>
        <color rgb="FFC00000"/>
        <rFont val="微软雅黑"/>
        <charset val="134"/>
      </rPr>
      <t>对自身造成25点真实伤害，而后获得等同于</t>
    </r>
    <r>
      <rPr>
        <sz val="11"/>
        <color rgb="FF7030A0"/>
        <rFont val="微软雅黑"/>
        <charset val="134"/>
      </rPr>
      <t>【创伤】</t>
    </r>
    <r>
      <rPr>
        <sz val="11"/>
        <color rgb="FFC00000"/>
        <rFont val="微软雅黑"/>
        <charset val="134"/>
      </rPr>
      <t>层数的【伤害提升】。若此时</t>
    </r>
    <r>
      <rPr>
        <sz val="11"/>
        <color rgb="FF7030A0"/>
        <rFont val="微软雅黑"/>
        <charset val="134"/>
      </rPr>
      <t>【创伤】</t>
    </r>
    <r>
      <rPr>
        <sz val="11"/>
        <color rgb="FFC00000"/>
        <rFont val="微软雅黑"/>
        <charset val="134"/>
      </rPr>
      <t>层数大于当前HP，还会使下一次攻击获得骰面升级。</t>
    </r>
  </si>
  <si>
    <t>碎颅击</t>
  </si>
  <si>
    <t>流星赶月</t>
  </si>
  <si>
    <t>紧急除颤</t>
  </si>
  <si>
    <t>无惧疼痛</t>
  </si>
  <si>
    <t>严酷训练</t>
  </si>
  <si>
    <r>
      <rPr>
        <sz val="12"/>
        <color rgb="FF385723"/>
        <rFont val="微软雅黑"/>
        <charset val="134"/>
      </rPr>
      <t>将</t>
    </r>
    <r>
      <rPr>
        <sz val="12"/>
        <color rgb="FF7030A0"/>
        <rFont val="微软雅黑"/>
        <charset val="134"/>
      </rPr>
      <t>【创伤】</t>
    </r>
    <r>
      <rPr>
        <sz val="12"/>
        <color rgb="FF385723"/>
        <rFont val="微软雅黑"/>
        <charset val="134"/>
      </rPr>
      <t>的叠加上限提高至HP上限的100%
强攻手具有</t>
    </r>
    <r>
      <rPr>
        <sz val="12"/>
        <color rgb="FF7030A0"/>
        <rFont val="微软雅黑"/>
        <charset val="134"/>
      </rPr>
      <t>【创伤】</t>
    </r>
    <r>
      <rPr>
        <sz val="12"/>
        <color rgb="FF385723"/>
        <rFont val="微软雅黑"/>
        <charset val="134"/>
      </rPr>
      <t>时，治疗强攻手时的检定获得骰面升级。</t>
    </r>
  </si>
  <si>
    <r>
      <rPr>
        <sz val="12"/>
        <color rgb="FF0070C0"/>
        <rFont val="微软雅黑"/>
        <charset val="134"/>
      </rPr>
      <t>强攻手将要被施加负面状态时，能够以施加该负面效果的检定结果为DC进行一次身法或格斗检定，若成功，抵抗该负面效果</t>
    </r>
    <r>
      <rPr>
        <sz val="12"/>
        <color rgb="FF000000"/>
        <rFont val="微软雅黑"/>
        <charset val="134"/>
      </rPr>
      <t xml:space="preserve">
</t>
    </r>
    <r>
      <rPr>
        <sz val="12"/>
        <color rgb="FF7F7F7F"/>
        <rFont val="微软雅黑"/>
        <charset val="134"/>
      </rPr>
      <t>若施加源进行基础属性检定，则强攻手使用生理耐受检定；若施加源没有进行检定，则强攻手投掷D2，出目为2视为成功</t>
    </r>
  </si>
  <si>
    <r>
      <rPr>
        <sz val="11"/>
        <color rgb="FFC00000"/>
        <rFont val="微软雅黑"/>
        <charset val="134"/>
      </rPr>
      <t>【引导】到下回合开始，【引导】结束后，可攻击一次，对所有目标造成伤害，该次攻击骰面升级，</t>
    </r>
    <r>
      <rPr>
        <sz val="11"/>
        <color rgb="FF843C0B"/>
        <rFont val="微软雅黑"/>
        <charset val="134"/>
      </rPr>
      <t>施加【眩晕】</t>
    </r>
    <r>
      <rPr>
        <sz val="11"/>
        <color rgb="FF0070C0"/>
        <rFont val="微软雅黑"/>
        <charset val="134"/>
      </rPr>
      <t>，或放弃攻击以返还SP消耗。</t>
    </r>
  </si>
  <si>
    <r>
      <rPr>
        <sz val="9"/>
        <color rgb="FF000000"/>
        <rFont val="微软雅黑"/>
        <charset val="134"/>
      </rPr>
      <t>选择一个单位，【引导】到下回合开始，【引导】结束后</t>
    </r>
    <r>
      <rPr>
        <sz val="9"/>
        <color rgb="FF0070C0"/>
        <rFont val="微软雅黑"/>
        <charset val="134"/>
      </rPr>
      <t>，沿直线移动至目标中心4范围的对应方向</t>
    </r>
    <r>
      <rPr>
        <sz val="9"/>
        <color rgb="FF000000"/>
        <rFont val="微软雅黑"/>
        <charset val="134"/>
      </rPr>
      <t>（至多以此法移动10战术格；若移动路径上有其他单位，或遭到阻挡，则提前中止移动）</t>
    </r>
    <r>
      <rPr>
        <sz val="9"/>
        <color rgb="FFC00000"/>
        <rFont val="微软雅黑"/>
        <charset val="134"/>
      </rPr>
      <t>，而后攻击一次，该次攻击骰面升级。</t>
    </r>
  </si>
  <si>
    <r>
      <rPr>
        <sz val="14"/>
        <color rgb="FF385723"/>
        <rFont val="微软雅黑"/>
        <charset val="134"/>
      </rPr>
      <t>进行一次攻击检定，移除层数等同于检定结果的</t>
    </r>
    <r>
      <rPr>
        <sz val="14"/>
        <color rgb="FF7030A0"/>
        <rFont val="微软雅黑"/>
        <charset val="134"/>
      </rPr>
      <t>【创伤】</t>
    </r>
  </si>
  <si>
    <r>
      <rPr>
        <sz val="10"/>
        <color rgb="FF000000"/>
        <rFont val="微软雅黑"/>
        <charset val="134"/>
      </rPr>
      <t>作为反应动作，在进入【濒死】时释放。</t>
    </r>
    <r>
      <rPr>
        <sz val="10"/>
        <color rgb="FF385723"/>
        <rFont val="微软雅黑"/>
        <charset val="134"/>
      </rPr>
      <t>移除【濒死】，将HP恢复至上限的50%，到下一回合开始前，HP无法被降低（除非一次性受到超过强攻者HP上限的伤害）</t>
    </r>
  </si>
  <si>
    <t>断魂斩</t>
  </si>
  <si>
    <t>压制</t>
  </si>
  <si>
    <t>舍身突击</t>
  </si>
  <si>
    <t>毁灭</t>
  </si>
  <si>
    <t>万夫莫开</t>
  </si>
  <si>
    <t>利刃之气</t>
  </si>
  <si>
    <r>
      <rPr>
        <sz val="14"/>
        <color rgb="FFC00000"/>
        <rFont val="微软雅黑"/>
        <charset val="134"/>
      </rPr>
      <t xml:space="preserve">回合开始时，获得等同于控制区内敌方单位数量×3的【伤害提升】
</t>
    </r>
    <r>
      <rPr>
        <sz val="14"/>
        <color rgb="FF385723"/>
        <rFont val="微软雅黑"/>
        <charset val="134"/>
      </rPr>
      <t>回合结束时，获得等同于控制区内敌方单位数量×3的物理抗性，持续至下回合开始</t>
    </r>
  </si>
  <si>
    <t>强攻手的攻击范围变更为与控制区一致，但攻击中心8范围之外的目标时无法触发【顺劈】</t>
  </si>
  <si>
    <t>攻击一次，
该次攻击每造成1点伤害，
就为强攻手恢复1点HP</t>
  </si>
  <si>
    <r>
      <rPr>
        <sz val="11"/>
        <color rgb="FF843C0B"/>
        <rFont val="微软雅黑"/>
        <charset val="134"/>
      </rPr>
      <t>开始【引导】，【引导】期间，对目标施加【压制】</t>
    </r>
    <r>
      <rPr>
        <sz val="11"/>
        <color rgb="FF000000"/>
        <rFont val="微软雅黑"/>
        <charset val="134"/>
      </rPr>
      <t xml:space="preserve">
</t>
    </r>
    <r>
      <rPr>
        <sz val="11"/>
        <color rgb="FF843C0B"/>
        <rFont val="微软雅黑"/>
        <charset val="134"/>
      </rPr>
      <t>【压制】：无法执行任何动作，在回合开始与回合结束时，与压制的来源进行物理强度对抗，若成功，解除【压制】并打断【引导】，</t>
    </r>
    <r>
      <rPr>
        <sz val="11"/>
        <color rgb="FFC00000"/>
        <rFont val="微软雅黑"/>
        <charset val="134"/>
      </rPr>
      <t>若失败，受到等同于双方物理强度检定结果之差的真实伤害。</t>
    </r>
  </si>
  <si>
    <r>
      <rPr>
        <sz val="12"/>
        <color rgb="FFC00000"/>
        <rFont val="微软雅黑"/>
        <charset val="134"/>
      </rPr>
      <t>所有攻击检定获得三个奖励骰</t>
    </r>
    <r>
      <rPr>
        <sz val="12"/>
        <color rgb="FF000000"/>
        <rFont val="微软雅黑"/>
        <charset val="134"/>
      </rPr>
      <t>，但不再能成为其他角色的治疗目标，持续至战斗结束。
可通过重新释放一次该技艺来移除上述效果。</t>
    </r>
  </si>
  <si>
    <t>攻击一次，本次攻击造成的伤害+75</t>
  </si>
  <si>
    <t>纳刀</t>
  </si>
  <si>
    <t>居合</t>
  </si>
  <si>
    <t>见切</t>
  </si>
  <si>
    <t>行险</t>
  </si>
  <si>
    <t>武者</t>
  </si>
  <si>
    <t>武者极意</t>
  </si>
  <si>
    <t>铁与血</t>
  </si>
  <si>
    <t>武者的攻击每对一个单位造成伤害，都可恢复4HP。
每进入一个新的精英化阶段，
额外恢复3HP</t>
  </si>
  <si>
    <t>攻击了武者的
单个单位</t>
  </si>
  <si>
    <t>武者每次攻击前，可消耗2HP，
对自身施加【伤害提升4】。
每进入一个新的精英化阶段，
【伤害提升】的数值增加4，
消耗的HP增加5。</t>
  </si>
  <si>
    <r>
      <rPr>
        <b/>
        <sz val="10"/>
        <color rgb="FFD9D9D9"/>
        <rFont val="微软雅黑"/>
        <charset val="134"/>
      </rPr>
      <t>穿戴</t>
    </r>
    <r>
      <rPr>
        <b/>
        <u/>
        <sz val="10"/>
        <color rgb="FFFFFFFF"/>
        <rFont val="微软雅黑"/>
        <charset val="134"/>
      </rPr>
      <t>中甲</t>
    </r>
    <r>
      <rPr>
        <b/>
        <sz val="10"/>
        <color rgb="FFD9D9D9"/>
        <rFont val="微软雅黑"/>
        <charset val="134"/>
      </rPr>
      <t>，具有</t>
    </r>
    <r>
      <rPr>
        <b/>
        <u/>
        <sz val="10"/>
        <color rgb="FFFFFFFF"/>
        <rFont val="微软雅黑"/>
        <charset val="134"/>
      </rPr>
      <t>高生命值</t>
    </r>
    <r>
      <rPr>
        <b/>
        <sz val="10"/>
        <color rgb="FFD9D9D9"/>
        <rFont val="微软雅黑"/>
        <charset val="134"/>
      </rPr>
      <t xml:space="preserve">
HP越低，输出能力越高的近战输出职业。
</t>
    </r>
    <r>
      <rPr>
        <b/>
        <sz val="10"/>
        <color rgb="FFFFC000"/>
        <rFont val="微软雅黑"/>
        <charset val="134"/>
      </rPr>
      <t>同时，武者受到来自其他单位的治疗效果减半。</t>
    </r>
  </si>
  <si>
    <r>
      <rPr>
        <sz val="14"/>
        <color rgb="FF0070C0"/>
        <rFont val="微软雅黑"/>
        <charset val="134"/>
      </rPr>
      <t>在下个战斗轮开始时，额外获得1主要行动与4移动位。</t>
    </r>
    <r>
      <rPr>
        <sz val="14"/>
        <color rgb="FF000000"/>
        <rFont val="微软雅黑"/>
        <charset val="134"/>
      </rPr>
      <t>同一回合内，至多释放一次。</t>
    </r>
  </si>
  <si>
    <t>攻击一次，对所有目标造成伤害，
本次攻击获得三个奖励骰。</t>
  </si>
  <si>
    <r>
      <rPr>
        <sz val="10"/>
        <color rgb="FF000000"/>
        <rFont val="微软雅黑"/>
        <charset val="134"/>
      </rPr>
      <t xml:space="preserve">仅在即将遭到攻击时，作为反应动作发动。
</t>
    </r>
    <r>
      <rPr>
        <sz val="10"/>
        <color rgb="FFC00000"/>
        <rFont val="微软雅黑"/>
        <charset val="134"/>
      </rPr>
      <t>攻击一次</t>
    </r>
    <r>
      <rPr>
        <sz val="10"/>
        <color rgb="FF000000"/>
        <rFont val="微软雅黑"/>
        <charset val="134"/>
      </rPr>
      <t>。</t>
    </r>
    <r>
      <rPr>
        <sz val="10"/>
        <color theme="7" tint="-0.5"/>
        <rFont val="微软雅黑"/>
        <charset val="134"/>
      </rPr>
      <t>若此攻击检定的结果高于武者即将所受的攻击检定结果，还会抵消武者即将受到的攻击</t>
    </r>
    <r>
      <rPr>
        <sz val="10"/>
        <color rgb="FF000000"/>
        <rFont val="微软雅黑"/>
        <charset val="134"/>
      </rPr>
      <t>。</t>
    </r>
  </si>
  <si>
    <r>
      <rPr>
        <sz val="14"/>
        <color rgb="FF000000"/>
        <rFont val="微软雅黑"/>
        <charset val="134"/>
      </rPr>
      <t xml:space="preserve">消耗50%的当前HP，
</t>
    </r>
    <r>
      <rPr>
        <sz val="14"/>
        <color rgb="FF385723"/>
        <rFont val="微软雅黑"/>
        <charset val="134"/>
      </rPr>
      <t>获得数额等同于HP上限50%的【屏障】</t>
    </r>
  </si>
  <si>
    <r>
      <rPr>
        <b/>
        <sz val="10"/>
        <color theme="0" tint="-0.15"/>
        <rFont val="微软雅黑"/>
        <charset val="134"/>
      </rPr>
      <t>伤害骰面为</t>
    </r>
    <r>
      <rPr>
        <b/>
        <u/>
        <sz val="10"/>
        <color theme="0"/>
        <rFont val="微软雅黑"/>
        <charset val="134"/>
      </rPr>
      <t>D6</t>
    </r>
    <r>
      <rPr>
        <b/>
        <sz val="10"/>
        <color theme="0" tint="-0.15"/>
        <rFont val="微软雅黑"/>
        <charset val="134"/>
      </rPr>
      <t>的</t>
    </r>
    <r>
      <rPr>
        <b/>
        <u/>
        <sz val="10"/>
        <color theme="0"/>
        <rFont val="微软雅黑"/>
        <charset val="134"/>
      </rPr>
      <t>近战物理</t>
    </r>
    <r>
      <rPr>
        <b/>
        <sz val="10"/>
        <color theme="0" tint="-0.15"/>
        <rFont val="微软雅黑"/>
        <charset val="134"/>
      </rPr>
      <t>武器
通常是各类注重技巧的长刀。
能够在近距离发动有节奏的物理攻击。比起其他武器，更注重使用者的技巧和熟练度。</t>
    </r>
  </si>
  <si>
    <t>双斩</t>
  </si>
  <si>
    <t>影</t>
  </si>
  <si>
    <t>闪</t>
  </si>
  <si>
    <t>登龙</t>
  </si>
  <si>
    <t>徐风</t>
  </si>
  <si>
    <t>火与钢</t>
  </si>
  <si>
    <t>武者在即将发起攻击前，或完成了攻击后，可移动1战术格
若使用主要行动进行移动预备，额外获得2移动位。</t>
  </si>
  <si>
    <r>
      <rPr>
        <sz val="14"/>
        <color rgb="FFC00000"/>
        <rFont val="微软雅黑"/>
        <charset val="134"/>
      </rPr>
      <t>武者的HP低于上限的50%时</t>
    </r>
    <r>
      <rPr>
        <sz val="14"/>
        <color rgb="FF0070C0"/>
        <rFont val="微软雅黑"/>
        <charset val="134"/>
      </rPr>
      <t xml:space="preserve">
在每轮开始时，可将1快速行动变为主要行动。</t>
    </r>
  </si>
  <si>
    <t>每回合结束时，恢复1SP
同时，每有10点已损失HP，就额外恢复1SP，同一轮次内至多以此法回复4SP。每进入一个新的精英化阶段，每回合获得SP的上限+1。</t>
  </si>
  <si>
    <t>攻击两次。</t>
  </si>
  <si>
    <r>
      <rPr>
        <sz val="12"/>
        <color rgb="FF0070C0"/>
        <rFont val="微软雅黑"/>
        <charset val="134"/>
      </rPr>
      <t>突袭到释放范围的另一侧</t>
    </r>
    <r>
      <rPr>
        <sz val="12"/>
        <color rgb="FF000000"/>
        <rFont val="微软雅黑"/>
        <charset val="134"/>
      </rPr>
      <t>，</t>
    </r>
    <r>
      <rPr>
        <sz val="12"/>
        <color rgb="FFC00000"/>
        <rFont val="微软雅黑"/>
        <charset val="134"/>
      </rPr>
      <t>攻击一次，对所有目标造成伤害。本次攻击骰面升级。
若该技艺击倒了目标，可无消耗地立即重新释放。</t>
    </r>
  </si>
  <si>
    <r>
      <rPr>
        <sz val="12"/>
        <color rgb="FF385723"/>
        <rFont val="微软雅黑"/>
        <charset val="134"/>
      </rPr>
      <t>武者的完全招架不再消耗行动</t>
    </r>
    <r>
      <rPr>
        <sz val="12"/>
        <color rgb="FF000000"/>
        <rFont val="微软雅黑"/>
        <charset val="134"/>
      </rPr>
      <t>。</t>
    </r>
    <r>
      <rPr>
        <sz val="12"/>
        <color rgb="FFC00000"/>
        <rFont val="微软雅黑"/>
        <charset val="134"/>
      </rPr>
      <t>若成功招架了远程物理攻击，则将弹体反弹给攻击的发起者，视为武者进行了一次远程物理攻击。</t>
    </r>
    <r>
      <rPr>
        <sz val="12"/>
        <color rgb="FF000000"/>
        <rFont val="微软雅黑"/>
        <charset val="134"/>
      </rPr>
      <t>持续至下回合开始。</t>
    </r>
  </si>
  <si>
    <r>
      <rPr>
        <sz val="11"/>
        <color rgb="FFC00000"/>
        <rFont val="微软雅黑"/>
        <charset val="134"/>
      </rPr>
      <t>【引导】至下回合开始，【引导】结束后，攻击一次，该次攻击暴击。</t>
    </r>
    <r>
      <rPr>
        <sz val="11"/>
        <color rgb="FF000000"/>
        <rFont val="微软雅黑"/>
        <charset val="134"/>
      </rPr>
      <t>若引导结束后攻击范围内没有可用目标，则返还资源消耗（但不返还行动消耗）</t>
    </r>
  </si>
  <si>
    <t>气刃</t>
  </si>
  <si>
    <t>破门</t>
  </si>
  <si>
    <t>调息</t>
  </si>
  <si>
    <t>练气解放</t>
  </si>
  <si>
    <t>刃气护体</t>
  </si>
  <si>
    <t>有死无生</t>
  </si>
  <si>
    <t>通过武者技艺与天赋获得的
【屏障】可与已有的【屏障】叠加。至多叠加至HP上限的100%</t>
  </si>
  <si>
    <t>距武者最近的
单个单位</t>
  </si>
  <si>
    <t>当武者即将通过技艺消耗HP时，可改为消耗等额的HP上限。
当武者因任何原因导致HP上限降低时，可使HP上限降低的数值减半。</t>
  </si>
  <si>
    <r>
      <rPr>
        <sz val="12"/>
        <color rgb="FFC00000"/>
        <rFont val="微软雅黑"/>
        <charset val="134"/>
      </rPr>
      <t xml:space="preserve">攻击一次，攻击骰面升级。
</t>
    </r>
    <r>
      <rPr>
        <sz val="12"/>
        <color rgb="FF000000"/>
        <rFont val="微软雅黑"/>
        <charset val="134"/>
      </rPr>
      <t>若攻击了武者攻击范围之外的目标，则会被视为远程攻击。</t>
    </r>
  </si>
  <si>
    <t>消耗50%的当前HP，恢复3SP，所有攻击检定骰面升级；若能使用源石技艺，则可令其伤害类型变为法术
持续至下回合开始。</t>
  </si>
  <si>
    <t>获得【护盾1】，【引导】至下一回合开始，【引导】结束后，恢复50%的已损失生命值
若受到了来自于攻击的伤害，【引导】即被打断。</t>
  </si>
  <si>
    <t>将自身的【屏障】转化为等额的【伤害提升】
将自身的【护盾】转化为对应次数的骰面升级，应用于下一次攻击检定。</t>
  </si>
  <si>
    <t>刀光剑影</t>
  </si>
  <si>
    <t>剑意</t>
  </si>
  <si>
    <t>魂燃魄转</t>
  </si>
  <si>
    <t>无双斩</t>
  </si>
  <si>
    <t>最佳防御</t>
  </si>
  <si>
    <t>命若琴弦</t>
  </si>
  <si>
    <t>可将武者的攻击技艺与天赋提供的HP恢复转变为等额的【屏障】</t>
  </si>
  <si>
    <t>武者每场战斗首次进入【濒死】时，获得【免疫】，到下回合开始时，移除【濒死】，恢复50%的HP，</t>
  </si>
  <si>
    <t>HP上限=生理耐受×3+（生理耐受/8+3）×升级次数</t>
  </si>
  <si>
    <r>
      <rPr>
        <sz val="12"/>
        <color rgb="FFC00000"/>
        <rFont val="微软雅黑"/>
        <charset val="134"/>
      </rPr>
      <t xml:space="preserve">攻击四次，对所有目标造成伤害。
</t>
    </r>
    <r>
      <rPr>
        <sz val="12"/>
        <color rgb="FF000000"/>
        <rFont val="微软雅黑"/>
        <charset val="134"/>
      </rPr>
      <t>若攻击了武者攻击范围之外的目标，攻击可被视为远程攻击。</t>
    </r>
  </si>
  <si>
    <r>
      <rPr>
        <sz val="10"/>
        <color rgb="FFC00000"/>
        <rFont val="微软雅黑"/>
        <charset val="134"/>
      </rPr>
      <t xml:space="preserve">在回合开始时启用：武者的攻击命中后，会在武者回合结束时对受击目标施加可叠加的【剑意】，至多五层。在随后的每个回合开始时，可重新释放该技艺以维持【剑意】，或引爆并清除所有【剑意】，对所有受影响的单位进行各进行一次辅助骰攻击，每引爆一层【剑意】，骰面就升级一次。
</t>
    </r>
    <r>
      <rPr>
        <sz val="10"/>
        <color rgb="FF7F7F7F"/>
        <rFont val="微软雅黑"/>
        <charset val="134"/>
      </rPr>
      <t>若释放了【纳刀】，【剑意】会被提前引爆。</t>
    </r>
  </si>
  <si>
    <r>
      <rPr>
        <sz val="14"/>
        <color rgb="FF385723"/>
        <rFont val="微软雅黑"/>
        <charset val="134"/>
      </rPr>
      <t xml:space="preserve">每回合限一次，恢复12HP，
</t>
    </r>
    <r>
      <rPr>
        <sz val="14"/>
        <color rgb="FF0070C0"/>
        <rFont val="微软雅黑"/>
        <charset val="134"/>
      </rPr>
      <t>该技艺可以相反的方式发动，即消耗12HP，恢复3SP</t>
    </r>
  </si>
  <si>
    <t>攻击一次，该次攻击暴击，
对所有目标造成伤害。</t>
  </si>
  <si>
    <r>
      <rPr>
        <b/>
        <sz val="11"/>
        <color rgb="FF7030A0"/>
        <rFont val="微软雅黑"/>
        <charset val="134"/>
      </rPr>
      <t>【武器技能】</t>
    </r>
    <r>
      <rPr>
        <b/>
        <sz val="11"/>
        <color rgb="FF000000"/>
        <rFont val="微软雅黑"/>
        <charset val="134"/>
      </rPr>
      <t>：创建术战者武器时，需要同时选择一个基于术战者武器具体型制的战斗技能。术战者武器可以随时转化为一把依赖于该技能并造成近战物理伤害的无所属分支武器。</t>
    </r>
  </si>
  <si>
    <t>术师招架</t>
  </si>
  <si>
    <t>幻影斩击</t>
  </si>
  <si>
    <t>术战者</t>
  </si>
  <si>
    <t>剑气</t>
  </si>
  <si>
    <t>武器附魔</t>
  </si>
  <si>
    <r>
      <rPr>
        <b/>
        <sz val="11"/>
        <color rgb="FF000000"/>
        <rFont val="微软雅黑"/>
        <charset val="134"/>
      </rPr>
      <t xml:space="preserve">武器附魔效果内容：（精零/一/二）
</t>
    </r>
    <r>
      <rPr>
        <b/>
        <sz val="11"/>
        <color rgb="FFC00000"/>
        <rFont val="微软雅黑"/>
        <charset val="134"/>
      </rPr>
      <t>火焰：额外造成3/4/5点灼燃损伤</t>
    </r>
    <r>
      <rPr>
        <b/>
        <sz val="11"/>
        <color rgb="FF000000"/>
        <rFont val="微软雅黑"/>
        <charset val="134"/>
      </rPr>
      <t xml:space="preserve">
</t>
    </r>
    <r>
      <rPr>
        <b/>
        <sz val="11"/>
        <color rgb="FF0070C0"/>
        <rFont val="微软雅黑"/>
        <charset val="134"/>
      </rPr>
      <t xml:space="preserve">流水：额外造成3/4/5点侵蚀损伤
</t>
    </r>
    <r>
      <rPr>
        <b/>
        <sz val="11"/>
        <color rgb="FF385723"/>
        <rFont val="微软雅黑"/>
        <charset val="134"/>
      </rPr>
      <t>生命：额外造成3/4/5点毒性损伤</t>
    </r>
    <r>
      <rPr>
        <b/>
        <sz val="11"/>
        <color rgb="FF0070C0"/>
        <rFont val="微软雅黑"/>
        <charset val="134"/>
      </rPr>
      <t xml:space="preserve">
</t>
    </r>
    <r>
      <rPr>
        <b/>
        <sz val="11"/>
        <color rgb="FFED79A9"/>
        <rFont val="微软雅黑"/>
        <charset val="134"/>
      </rPr>
      <t xml:space="preserve">传心感知：额外造成3/4/5点精神损伤
</t>
    </r>
    <r>
      <rPr>
        <b/>
        <sz val="11"/>
        <color rgb="FF000000"/>
        <rFont val="微软雅黑"/>
        <charset val="134"/>
      </rPr>
      <t>原力：额外施加【失重4/5/6】</t>
    </r>
    <r>
      <rPr>
        <b/>
        <sz val="11"/>
        <color rgb="FFED79A9"/>
        <rFont val="微软雅黑"/>
        <charset val="134"/>
      </rPr>
      <t xml:space="preserve">
</t>
    </r>
    <r>
      <rPr>
        <b/>
        <sz val="11"/>
        <color rgb="FF7030A0"/>
        <rFont val="微软雅黑"/>
        <charset val="134"/>
      </rPr>
      <t>雷电：额外对自身施加【电荷2】</t>
    </r>
    <r>
      <rPr>
        <b/>
        <sz val="11"/>
        <color rgb="FFED79A9"/>
        <rFont val="微软雅黑"/>
        <charset val="134"/>
      </rPr>
      <t xml:space="preserve">
</t>
    </r>
    <r>
      <rPr>
        <b/>
        <sz val="11"/>
        <color rgb="FF1F4E79"/>
        <rFont val="微软雅黑"/>
        <charset val="134"/>
      </rPr>
      <t>冰霜：额外施加【寒冷】</t>
    </r>
    <r>
      <rPr>
        <b/>
        <sz val="11"/>
        <color rgb="FFED79A9"/>
        <rFont val="微软雅黑"/>
        <charset val="134"/>
      </rPr>
      <t xml:space="preserve">
</t>
    </r>
    <r>
      <rPr>
        <b/>
        <sz val="11"/>
        <color rgb="FFFFC000"/>
        <rFont val="微软雅黑"/>
        <charset val="134"/>
      </rPr>
      <t>光明：额外施加【脆弱5/10/15】</t>
    </r>
    <r>
      <rPr>
        <b/>
        <sz val="11"/>
        <color rgb="FFED79A9"/>
        <rFont val="微软雅黑"/>
        <charset val="134"/>
      </rPr>
      <t xml:space="preserve">
</t>
    </r>
    <r>
      <rPr>
        <b/>
        <sz val="11"/>
        <color rgb="FF000000"/>
        <rFont val="微软雅黑"/>
        <charset val="134"/>
      </rPr>
      <t>暗影：额外施加【束缚】</t>
    </r>
    <r>
      <rPr>
        <b/>
        <sz val="11"/>
        <color rgb="FFED79A9"/>
        <rFont val="微软雅黑"/>
        <charset val="134"/>
      </rPr>
      <t xml:space="preserve">
</t>
    </r>
    <r>
      <rPr>
        <b/>
        <sz val="11"/>
        <color rgb="FF36B3A8"/>
        <rFont val="微软雅黑"/>
        <charset val="134"/>
      </rPr>
      <t>气流：额外施加【推击4/5/6】</t>
    </r>
    <r>
      <rPr>
        <b/>
        <sz val="11"/>
        <color rgb="FFED79A9"/>
        <rFont val="微软雅黑"/>
        <charset val="134"/>
      </rPr>
      <t xml:space="preserve">
</t>
    </r>
    <r>
      <rPr>
        <b/>
        <sz val="11"/>
        <color rgb="FF548235"/>
        <rFont val="微软雅黑"/>
        <charset val="134"/>
      </rPr>
      <t>医疗：对自身释放【辅助治疗】</t>
    </r>
    <r>
      <rPr>
        <b/>
        <sz val="11"/>
        <color rgb="FFED79A9"/>
        <rFont val="微软雅黑"/>
        <charset val="134"/>
      </rPr>
      <t xml:space="preserve">
</t>
    </r>
    <r>
      <rPr>
        <b/>
        <sz val="11"/>
        <color rgb="FF843C0B"/>
        <rFont val="微软雅黑"/>
        <charset val="134"/>
      </rPr>
      <t>土石：对自身施加可叠加的【屏障5/10/15】，或将目标所在战术格变为【陷坑】</t>
    </r>
  </si>
  <si>
    <t>术战者的攻击范围同时也是施法范围。每进入一个新的精英化阶段，攻击范围向前延伸一格，但普通攻击仅能选中距术战者最近的单位。</t>
  </si>
  <si>
    <t>术战者非源石技艺攻击命中时，能额外消耗2SP，根据该次攻击所使用的技能来触发对应的额外效果。</t>
  </si>
  <si>
    <r>
      <rPr>
        <b/>
        <sz val="10"/>
        <color rgb="FFD9D9D9"/>
        <rFont val="微软雅黑"/>
        <charset val="134"/>
      </rPr>
      <t>穿戴</t>
    </r>
    <r>
      <rPr>
        <b/>
        <u/>
        <sz val="10"/>
        <color rgb="FFFFFFFF"/>
        <rFont val="微软雅黑"/>
        <charset val="134"/>
      </rPr>
      <t>中甲</t>
    </r>
    <r>
      <rPr>
        <b/>
        <sz val="10"/>
        <color rgb="FFD9D9D9"/>
        <rFont val="微软雅黑"/>
        <charset val="134"/>
      </rPr>
      <t>，具有</t>
    </r>
    <r>
      <rPr>
        <b/>
        <u/>
        <sz val="10"/>
        <color rgb="FFFFFFFF"/>
        <rFont val="微软雅黑"/>
        <charset val="134"/>
      </rPr>
      <t>中生命值</t>
    </r>
    <r>
      <rPr>
        <b/>
        <sz val="10"/>
        <color rgb="FFD9D9D9"/>
        <rFont val="微软雅黑"/>
        <charset val="134"/>
      </rPr>
      <t xml:space="preserve">
能够在近距离造成可观的法术伤害的职业。</t>
    </r>
  </si>
  <si>
    <r>
      <rPr>
        <sz val="14"/>
        <color rgb="FF385723"/>
        <rFont val="微软雅黑"/>
        <charset val="134"/>
      </rPr>
      <t>在即将遭受攻击时，作为反应动作释放。令该次攻击检定的结果降低X点
X=</t>
    </r>
    <r>
      <rPr>
        <sz val="14"/>
        <color rgb="FF7030A0"/>
        <rFont val="微软雅黑"/>
        <charset val="134"/>
      </rPr>
      <t>【武器技能】</t>
    </r>
    <r>
      <rPr>
        <sz val="14"/>
        <color rgb="FF385723"/>
        <rFont val="微软雅黑"/>
        <charset val="134"/>
      </rPr>
      <t>的技能值。</t>
    </r>
  </si>
  <si>
    <r>
      <rPr>
        <sz val="14"/>
        <color rgb="FFC00000"/>
        <rFont val="微软雅黑"/>
        <charset val="134"/>
      </rPr>
      <t>攻击一次，随后立即用</t>
    </r>
    <r>
      <rPr>
        <sz val="14"/>
        <color rgb="FF7030A0"/>
        <rFont val="微软雅黑"/>
        <charset val="134"/>
      </rPr>
      <t>【武器技能】</t>
    </r>
    <r>
      <rPr>
        <sz val="14"/>
        <color rgb="FFC00000"/>
        <rFont val="微软雅黑"/>
        <charset val="134"/>
      </rPr>
      <t>对同一目标再攻击一次，造成物理伤害。</t>
    </r>
  </si>
  <si>
    <r>
      <rPr>
        <b/>
        <sz val="10"/>
        <color rgb="FFD9D9D9"/>
        <rFont val="微软雅黑"/>
        <charset val="134"/>
      </rPr>
      <t>伤害骰面为</t>
    </r>
    <r>
      <rPr>
        <b/>
        <u/>
        <sz val="10"/>
        <color rgb="FFFFFFFF"/>
        <rFont val="微软雅黑"/>
        <charset val="134"/>
      </rPr>
      <t>D6</t>
    </r>
    <r>
      <rPr>
        <b/>
        <sz val="10"/>
        <color rgb="FFD9D9D9"/>
        <rFont val="微软雅黑"/>
        <charset val="134"/>
      </rPr>
      <t>的</t>
    </r>
    <r>
      <rPr>
        <b/>
        <u/>
        <sz val="10"/>
        <color rgb="FFFFFFFF"/>
        <rFont val="微软雅黑"/>
        <charset val="134"/>
      </rPr>
      <t>近战法术</t>
    </r>
    <r>
      <rPr>
        <b/>
        <sz val="10"/>
        <color rgb="FFD9D9D9"/>
        <rFont val="微软雅黑"/>
        <charset val="134"/>
      </rPr>
      <t>武器。</t>
    </r>
    <r>
      <rPr>
        <b/>
        <u/>
        <sz val="10"/>
        <color rgb="FFD9D9D9"/>
        <rFont val="微软雅黑"/>
        <charset val="134"/>
      </rPr>
      <t>术战者武器的依赖技能必然是施术类技能</t>
    </r>
    <r>
      <rPr>
        <b/>
        <sz val="10"/>
        <color rgb="FFD9D9D9"/>
        <rFont val="微软雅黑"/>
        <charset val="134"/>
      </rPr>
      <t>。
通常是各类能够同时起到施法媒介功能的近战武器，
例如带刃的法杖，或是由法术制成的刀剑
能够在近距离造成可观的法术伤害。</t>
    </r>
  </si>
  <si>
    <t>元素护甲</t>
  </si>
  <si>
    <t>术能尖刺</t>
  </si>
  <si>
    <t>剑舞仪式</t>
  </si>
  <si>
    <t>二元性</t>
  </si>
  <si>
    <t>对任意单位造成法术伤害后，
获得1移动位。</t>
  </si>
  <si>
    <r>
      <rPr>
        <sz val="13"/>
        <color rgb="FFC00000"/>
        <rFont val="微软雅黑"/>
        <charset val="134"/>
      </rPr>
      <t>术战者在进行施术类技能的攻击检定时，可将</t>
    </r>
    <r>
      <rPr>
        <sz val="13"/>
        <color rgb="FF7030A0"/>
        <rFont val="微软雅黑"/>
        <charset val="134"/>
      </rPr>
      <t>【武器技能】</t>
    </r>
    <r>
      <rPr>
        <sz val="13"/>
        <color rgb="FFC00000"/>
        <rFont val="微软雅黑"/>
        <charset val="134"/>
      </rPr>
      <t>的技能值添加到攻击检定的结果中；使用</t>
    </r>
    <r>
      <rPr>
        <sz val="13"/>
        <color rgb="FF7030A0"/>
        <rFont val="微软雅黑"/>
        <charset val="134"/>
      </rPr>
      <t>【武器技能】</t>
    </r>
    <r>
      <rPr>
        <sz val="13"/>
        <color rgb="FFC00000"/>
        <rFont val="微软雅黑"/>
        <charset val="134"/>
      </rPr>
      <t>进行攻击检定时，可选择一个施术类技能，将该技能值添加到检定结果中。</t>
    </r>
  </si>
  <si>
    <t>每回合结束时，回复2SP。
每进入一个新的精英化阶段，额外回复1SP</t>
  </si>
  <si>
    <r>
      <rPr>
        <sz val="14"/>
        <color rgb="FF385723"/>
        <rFont val="微软雅黑"/>
        <charset val="134"/>
      </rPr>
      <t>对自身施加【护盾1】</t>
    </r>
    <r>
      <rPr>
        <sz val="14"/>
        <color rgb="FFC00000"/>
        <rFont val="微软雅黑"/>
        <charset val="134"/>
      </rPr>
      <t>，该护盾被击破时，立即对击破者进行一次反击，该次攻击会被视为远程攻击。</t>
    </r>
  </si>
  <si>
    <t>攻击一次，根据该次攻击所使用的技能来触发对应的额外效果。（可以触发武器附魔）</t>
  </si>
  <si>
    <t>二元归一</t>
  </si>
  <si>
    <t>灌注</t>
  </si>
  <si>
    <t>待定</t>
  </si>
  <si>
    <t>急速施法</t>
  </si>
  <si>
    <t>每次长休时，术战者可以将一个源石技艺注入武器中，随后在术战者的攻击命中后，可额外对该次攻击命中的所有目标释放一次该源石技艺，随后将该技艺消耗。</t>
  </si>
  <si>
    <t>近战攻击命中一个目标后，同一回合内对该目标释放单体源石技艺时，可用快速行动代替主要行动作为消耗。</t>
  </si>
  <si>
    <r>
      <rPr>
        <sz val="14"/>
        <color rgb="FFC00000"/>
        <rFont val="微软雅黑"/>
        <charset val="134"/>
      </rPr>
      <t xml:space="preserve">攻击一次，同时进行攻击技能和
</t>
    </r>
    <r>
      <rPr>
        <sz val="14"/>
        <color rgb="FF7030A0"/>
        <rFont val="微软雅黑"/>
        <charset val="134"/>
      </rPr>
      <t>【武器技能】</t>
    </r>
    <r>
      <rPr>
        <sz val="14"/>
        <color rgb="FFC00000"/>
        <rFont val="微软雅黑"/>
        <charset val="134"/>
      </rPr>
      <t>检定，检定结果取较小值，
该次攻击造成真实伤害。</t>
    </r>
  </si>
  <si>
    <t>选择一个近卫技艺，替代该技艺的内容。</t>
  </si>
  <si>
    <t>精神融毁</t>
  </si>
  <si>
    <t>可以攻玉</t>
  </si>
  <si>
    <t>饮魔刀</t>
  </si>
  <si>
    <t>奇技淫巧</t>
  </si>
  <si>
    <r>
      <rPr>
        <sz val="12"/>
        <color rgb="FF385723"/>
        <rFont val="微软雅黑"/>
        <charset val="134"/>
      </rPr>
      <t>术战者对即将对自身造成法术伤害的攻击释放完全闪避与完全招架时不消耗行动。</t>
    </r>
    <r>
      <rPr>
        <sz val="12"/>
        <color rgb="FFC00000"/>
        <rFont val="微软雅黑"/>
        <charset val="134"/>
      </rPr>
      <t>每场战斗限一次，若抵消成功，可将这次攻击【灌注】到术战者武器中</t>
    </r>
    <r>
      <rPr>
        <sz val="12"/>
        <color rgb="FF385723"/>
        <rFont val="微软雅黑"/>
        <charset val="134"/>
      </rPr>
      <t>。</t>
    </r>
  </si>
  <si>
    <t>你的触发武器附魔的攻击命中时，可以额外消耗2SP施加直到目标回合结束的【沉默】。</t>
  </si>
  <si>
    <t>HP=生理耐受×2.5+
(生理耐受/8+3)×升级次数</t>
  </si>
  <si>
    <t>轻击一次，降低目标5点法术抗性。</t>
  </si>
  <si>
    <t>选择一个近战职业分支的技艺，替代该技艺的内容。</t>
  </si>
  <si>
    <t>狙击</t>
  </si>
  <si>
    <t>SNIPER</t>
  </si>
  <si>
    <t>高爆弹</t>
  </si>
  <si>
    <t>碎甲弹</t>
  </si>
  <si>
    <t>战术转移</t>
  </si>
  <si>
    <t>攻坚弹</t>
  </si>
  <si>
    <t>炮手</t>
  </si>
  <si>
    <t>溅射</t>
  </si>
  <si>
    <t>曲射火力</t>
  </si>
  <si>
    <t>炮手的攻击可同时对目标所在战术格的 本格/阶梯1/距离1 范围（精零/精一/精二）内的所有单位造成伤害，并且摧毁其中的民用级障碍
允许炮手对战术格进行攻击。</t>
  </si>
  <si>
    <t>允许炮手【瞄准】友方单位视野内的单位和战术格，而不仅是自己的。
只要弹道允许，炮手就可以使用抛物线弹道来攻击被瞄准的目标，以尝试规避掩体和障碍的影响。</t>
  </si>
  <si>
    <r>
      <rPr>
        <b/>
        <sz val="10"/>
        <color rgb="FFD9D9D9"/>
        <rFont val="微软雅黑"/>
        <charset val="134"/>
      </rPr>
      <t>穿戴</t>
    </r>
    <r>
      <rPr>
        <b/>
        <u/>
        <sz val="10"/>
        <color rgb="FFFFFFFF"/>
        <rFont val="微软雅黑"/>
        <charset val="134"/>
      </rPr>
      <t>轻甲</t>
    </r>
    <r>
      <rPr>
        <b/>
        <sz val="10"/>
        <color rgb="FFD9D9D9"/>
        <rFont val="微软雅黑"/>
        <charset val="134"/>
      </rPr>
      <t>，具有</t>
    </r>
    <r>
      <rPr>
        <b/>
        <u/>
        <sz val="10"/>
        <color rgb="FFFFFFFF"/>
        <rFont val="微软雅黑"/>
        <charset val="134"/>
      </rPr>
      <t>低生命值</t>
    </r>
    <r>
      <rPr>
        <b/>
        <sz val="10"/>
        <color rgb="FFD9D9D9"/>
        <rFont val="微软雅黑"/>
        <charset val="134"/>
      </rPr>
      <t xml:space="preserve">
擅长对群体敌人造成伤害的远程输出职业。</t>
    </r>
  </si>
  <si>
    <t>攻击一次，该次攻击骰面升级。</t>
  </si>
  <si>
    <t>轻击一次，施加【脆弱5】
每进入一个新的精英化阶段，【脆弱】的数值增加5点</t>
  </si>
  <si>
    <t>移动预备两次。</t>
  </si>
  <si>
    <t>攻击一次，向前发射，对释放范围内任意个单位造成伤害并施加【推击3】，若弹体撞击墙壁，则在目标战术格前爆炸，再攻击一次，获得三个奖励骰，对周围中心8范围内的任意个单位造成伤害，并且摧毁其中的民用级障碍。</t>
  </si>
  <si>
    <r>
      <rPr>
        <b/>
        <sz val="10"/>
        <color theme="0" tint="-0.15"/>
        <rFont val="微软雅黑"/>
        <charset val="134"/>
      </rPr>
      <t>伤害骰面为</t>
    </r>
    <r>
      <rPr>
        <b/>
        <u/>
        <sz val="10"/>
        <color theme="0"/>
        <rFont val="微软雅黑"/>
        <charset val="134"/>
      </rPr>
      <t>D6</t>
    </r>
    <r>
      <rPr>
        <b/>
        <sz val="10"/>
        <color theme="0" tint="-0.15"/>
        <rFont val="微软雅黑"/>
        <charset val="134"/>
      </rPr>
      <t>的</t>
    </r>
    <r>
      <rPr>
        <b/>
        <u/>
        <sz val="10"/>
        <color theme="0"/>
        <rFont val="微软雅黑"/>
        <charset val="134"/>
      </rPr>
      <t>远程物理</t>
    </r>
    <r>
      <rPr>
        <b/>
        <sz val="10"/>
        <color theme="0" tint="-0.15"/>
        <rFont val="微软雅黑"/>
        <charset val="134"/>
      </rPr>
      <t>武器
通常是各种沉重的发射器，如重弩和榴弹炮。
能够在远距离进行火力支援，擅长破坏地形或对付成群的目标。</t>
    </r>
  </si>
  <si>
    <t>破片弹</t>
  </si>
  <si>
    <t>惊吓盒</t>
  </si>
  <si>
    <t>机动弹</t>
  </si>
  <si>
    <t>灼痕弹</t>
  </si>
  <si>
    <t>落井下石</t>
  </si>
  <si>
    <t>资源投送</t>
  </si>
  <si>
    <t>炮手通过攻击对失能状态的目标造成伤害时，攻击检定骰面升级</t>
  </si>
  <si>
    <t>所有战术格</t>
  </si>
  <si>
    <t>炮手在攻击时，可消耗对应的投掷物，将该次攻击改为轻击，但在目标所在的战术格中应用投掷物的效果。
炮手能够携带的投掷物数量翻倍。</t>
  </si>
  <si>
    <t>攻击一次，同时对目标战术格的中心20范围内的所有单位造成伤害。若目标在中心4范围内，额外受到5点伤害。每进入一个新的精英化阶段，额外伤害增加5点</t>
  </si>
  <si>
    <r>
      <rPr>
        <sz val="12"/>
        <color rgb="FFC00000"/>
        <rFont val="微软雅黑"/>
        <charset val="134"/>
      </rPr>
      <t>在目标战术格中召唤一个</t>
    </r>
    <r>
      <rPr>
        <sz val="12"/>
        <color rgb="FF7030A0"/>
        <rFont val="微软雅黑"/>
        <charset val="134"/>
      </rPr>
      <t>【地雷】
【地雷】</t>
    </r>
    <r>
      <rPr>
        <sz val="12"/>
        <color rgb="FF7F7F7F"/>
        <rFont val="微软雅黑"/>
        <charset val="134"/>
      </rPr>
      <t>不允许在会被立即引爆的情况下召唤，即中心4范围内不能有敌方单位。</t>
    </r>
  </si>
  <si>
    <r>
      <rPr>
        <sz val="10"/>
        <color rgb="FF843C0B"/>
        <rFont val="微软雅黑"/>
        <charset val="134"/>
      </rPr>
      <t>轻击一次，以目标战术格为中心，对生效范围内的所有单位施加【推击3】。</t>
    </r>
    <r>
      <rPr>
        <sz val="10"/>
        <color rgb="FF0070C0"/>
        <rFont val="微软雅黑"/>
        <charset val="134"/>
      </rPr>
      <t>对炮手自身生效时，可无视自身重量等级。可作为反应动作，在有单位于攻击范围内移动时释放。</t>
    </r>
  </si>
  <si>
    <t>攻击一次，在释放范围内的所有战术格中引发爆破，每次爆破都可对周围中心8范围内的任意个单位造成伤害且摧毁其中的民用级障碍。</t>
  </si>
  <si>
    <t>热液穿甲</t>
  </si>
  <si>
    <t>延迟引爆</t>
  </si>
  <si>
    <t>红桃K</t>
  </si>
  <si>
    <t>死亡响指</t>
  </si>
  <si>
    <t>绝对专注</t>
  </si>
  <si>
    <t>地形规整</t>
  </si>
  <si>
    <t>若炮手的HP等于HP上限，
则所有攻击检定获得一个奖励骰。
且进行移动预备时获得的移动位+1</t>
  </si>
  <si>
    <t>炮手的攻击会令军用级障碍降级为工业级，令工业级障碍降级为民用级。
炮手的攻击命中地形单位时，造成的最终伤害增加25点。</t>
  </si>
  <si>
    <t>攻击一次，该次攻击无视目标50%的物理抗性，至多无视35点，但无法触发【溅射】</t>
  </si>
  <si>
    <t>攻击一次，该次攻击的炮弹会在炮手下回合开始时爆炸，对中心12范围内的任意个目标造成伤害。</t>
  </si>
  <si>
    <t>轻击一次，对目标施加【眩晕】。</t>
  </si>
  <si>
    <r>
      <rPr>
        <sz val="9"/>
        <color rgb="FFC00000"/>
        <rFont val="微软雅黑"/>
        <charset val="134"/>
      </rPr>
      <t>轻击一次，对目标施加【D12】，不触发【溅射】可额外消耗3SP，对攻击范围内的另一个目标触发该效果，至多施加4个
到炮手下回合开始时，引爆所有【D12】。（无弹道地）各攻击一次所有受影响的目标，该次攻击骰面升级，</t>
    </r>
    <r>
      <rPr>
        <sz val="9"/>
        <color rgb="FF843C0B"/>
        <rFont val="微软雅黑"/>
        <charset val="134"/>
      </rPr>
      <t>施加【震慑】</t>
    </r>
    <r>
      <rPr>
        <sz val="9"/>
        <color rgb="FFC00000"/>
        <rFont val="微软雅黑"/>
        <charset val="134"/>
      </rPr>
      <t>。</t>
    </r>
  </si>
  <si>
    <t>风暴重拳</t>
  </si>
  <si>
    <t>闲人免进</t>
  </si>
  <si>
    <t>照明弹</t>
  </si>
  <si>
    <t>爆裂黎明</t>
  </si>
  <si>
    <t>远程启动</t>
  </si>
  <si>
    <t>动能专家</t>
  </si>
  <si>
    <t>炮手能够识别视野范围内有哪些可供起爆的地形（例如载具），当炮手的攻击命中时，会将其直接引爆，使其造成的伤害提高至预设值的两倍（可对【地雷】生效）
若炮手的攻击所命中的敌人携带了投掷物，则可能会将其引爆。</t>
  </si>
  <si>
    <t>全场</t>
  </si>
  <si>
    <t>炮手的攻击即使选取了自身为目标也不会造成伤害，而是能够以攻击目标为中心的位置对炮手施加力度不大于3，但无视重量等级的【推击】</t>
  </si>
  <si>
    <t>HP上限=生理耐受×2.5+（生理耐受/8+1）×升级次数</t>
  </si>
  <si>
    <r>
      <rPr>
        <sz val="12"/>
        <color rgb="FFC00000"/>
        <rFont val="微软雅黑"/>
        <charset val="134"/>
      </rPr>
      <t xml:space="preserve">选定一个战术格，攻击一次，对生效范围内的任意个单位造成伤害并施加【震慑】
</t>
    </r>
    <r>
      <rPr>
        <sz val="12"/>
        <color rgb="FF0070C0"/>
        <rFont val="微软雅黑"/>
        <charset val="134"/>
      </rPr>
      <t>与此同时，炮手向后移动3个战术格</t>
    </r>
  </si>
  <si>
    <t>释放四次【惊吓盒】，期间可任意转向。</t>
  </si>
  <si>
    <t>在目标位置发射照明弹，移除从照明弹的位置可见的所有单位的【隐匿】和【迷彩】。
使战场能见度提高一个等级，持续至战斗轮结束三次</t>
  </si>
  <si>
    <r>
      <rPr>
        <sz val="11"/>
        <color rgb="FFC00000"/>
        <rFont val="微软雅黑"/>
        <charset val="134"/>
      </rPr>
      <t>攻击目标战术格三次，对生效范围内的任意个单位造成伤害，</t>
    </r>
    <r>
      <rPr>
        <sz val="11"/>
        <color rgb="FF843C0B"/>
        <rFont val="微软雅黑"/>
        <charset val="134"/>
      </rPr>
      <t>对目标战术格内的单位额外施加【眩晕】</t>
    </r>
  </si>
  <si>
    <t>地雷</t>
  </si>
  <si>
    <r>
      <rPr>
        <sz val="10.5"/>
        <color rgb="FF000000"/>
        <rFont val="Times New Roman"/>
        <charset val="134"/>
      </rPr>
      <t>HP</t>
    </r>
    <r>
      <rPr>
        <sz val="10.5"/>
        <color rgb="FF000000"/>
        <rFont val="思源宋体 CN SemiBold"/>
        <charset val="134"/>
      </rPr>
      <t>：</t>
    </r>
    <r>
      <rPr>
        <sz val="10.5"/>
        <color rgb="FF000000"/>
        <rFont val="Times New Roman"/>
        <charset val="134"/>
      </rPr>
      <t>10</t>
    </r>
  </si>
  <si>
    <t>具有【迷彩】。
当有单位处在（包括失衡位移）周围中心4范围的战术格时，立刻引爆，摧毁自身，由召唤者进行一次攻击，对周围中心8范围内的任意个单位造成伤害，施加【眩晕】。
若受攻击而被摧毁，亦会触发上述爆炸效果。</t>
  </si>
  <si>
    <t>锥针</t>
  </si>
  <si>
    <t>停止效应</t>
  </si>
  <si>
    <t>瞬镜</t>
  </si>
  <si>
    <t>全神贯注</t>
  </si>
  <si>
    <t>神射手</t>
  </si>
  <si>
    <t>正中靶心</t>
  </si>
  <si>
    <t>/</t>
  </si>
  <si>
    <t>我看到你了</t>
  </si>
  <si>
    <t>攻击具有【标记】的目标时骰面升级。</t>
  </si>
  <si>
    <t>【侦测】动作会为神射手揭示视野内所有单位的具体抗性与生命值数据。神射手能从其中选择一个，对其施加【下一次受到的攻击获得2个奖励骰】</t>
  </si>
  <si>
    <r>
      <rPr>
        <b/>
        <sz val="10"/>
        <color rgb="FFD9D9D9"/>
        <rFont val="微软雅黑"/>
        <charset val="134"/>
      </rPr>
      <t>穿戴</t>
    </r>
    <r>
      <rPr>
        <b/>
        <u/>
        <sz val="10"/>
        <color rgb="FFFFFFFF"/>
        <rFont val="微软雅黑"/>
        <charset val="134"/>
      </rPr>
      <t>轻甲</t>
    </r>
    <r>
      <rPr>
        <b/>
        <sz val="10"/>
        <color rgb="FFD9D9D9"/>
        <rFont val="微软雅黑"/>
        <charset val="134"/>
      </rPr>
      <t>，具有</t>
    </r>
    <r>
      <rPr>
        <b/>
        <u/>
        <sz val="10"/>
        <color rgb="FFFFFFFF"/>
        <rFont val="微软雅黑"/>
        <charset val="134"/>
      </rPr>
      <t>低生命值</t>
    </r>
    <r>
      <rPr>
        <b/>
        <sz val="10"/>
        <color rgb="FFD9D9D9"/>
        <rFont val="微软雅黑"/>
        <charset val="134"/>
      </rPr>
      <t xml:space="preserve">
擅长远距离对关键敌人造成大量物理伤害的远程输出职业。</t>
    </r>
  </si>
  <si>
    <r>
      <rPr>
        <sz val="12"/>
        <rFont val="微软雅黑"/>
        <charset val="134"/>
      </rPr>
      <t>该技艺可替换【警戒打击】。</t>
    </r>
    <r>
      <rPr>
        <sz val="12"/>
        <color rgb="FFC00000"/>
        <rFont val="微软雅黑"/>
        <charset val="134"/>
      </rPr>
      <t>攻击一次</t>
    </r>
    <r>
      <rPr>
        <sz val="12"/>
        <color theme="7" tint="-0.5"/>
        <rFont val="微软雅黑"/>
        <charset val="134"/>
      </rPr>
      <t>，</t>
    </r>
    <r>
      <rPr>
        <sz val="12"/>
        <color theme="5" tint="-0.5"/>
        <rFont val="微软雅黑"/>
        <charset val="134"/>
      </rPr>
      <t>该次攻击骰面降级，但对其施加
【束缚】与【标记】</t>
    </r>
  </si>
  <si>
    <t>【瞄准】目标并施加【标记】。</t>
  </si>
  <si>
    <t>攻击前可作为反应动作释放。
如果目标【被瞄准】，本次攻击移除目标的【被瞄准】，【暴击】且【精准】。</t>
  </si>
  <si>
    <r>
      <rPr>
        <b/>
        <sz val="10"/>
        <color theme="0" tint="-0.15"/>
        <rFont val="微软雅黑"/>
        <charset val="134"/>
      </rPr>
      <t>伤害骰面为</t>
    </r>
    <r>
      <rPr>
        <b/>
        <u/>
        <sz val="10"/>
        <color theme="0"/>
        <rFont val="微软雅黑"/>
        <charset val="134"/>
      </rPr>
      <t>D6</t>
    </r>
    <r>
      <rPr>
        <b/>
        <sz val="10"/>
        <color theme="0" tint="-0.15"/>
        <rFont val="微软雅黑"/>
        <charset val="134"/>
      </rPr>
      <t>的</t>
    </r>
    <r>
      <rPr>
        <b/>
        <u/>
        <sz val="10"/>
        <color theme="0" tint="-0.05"/>
        <rFont val="微软雅黑"/>
        <charset val="134"/>
      </rPr>
      <t>远程物理</t>
    </r>
    <r>
      <rPr>
        <b/>
        <sz val="10"/>
        <color theme="0" tint="-0.15"/>
        <rFont val="微软雅黑"/>
        <charset val="134"/>
      </rPr>
      <t>武器
通常是各种精度较高而发射频率较低的双手远程武器，如十字弩与长弓。
能够在极远距离对脆弱目标进行致命的打击。</t>
    </r>
  </si>
  <si>
    <t>冷血追命</t>
  </si>
  <si>
    <t>阻滞射击</t>
  </si>
  <si>
    <t>转点</t>
  </si>
  <si>
    <t>万步穿杨</t>
  </si>
  <si>
    <t>低调入场</t>
  </si>
  <si>
    <t>从神射手出发的一条射线</t>
  </si>
  <si>
    <t>死神来了</t>
  </si>
  <si>
    <r>
      <rPr>
        <sz val="14"/>
        <color rgb="FF3C5F21"/>
        <rFont val="微软雅黑"/>
        <charset val="134"/>
      </rPr>
      <t>战斗开始时，无消耗地释放一次
【潜行】。</t>
    </r>
    <r>
      <rPr>
        <sz val="14"/>
        <color rgb="FF0070C0"/>
        <rFont val="微软雅黑"/>
        <charset val="134"/>
      </rPr>
      <t xml:space="preserve">
在【隐匿】和【迷彩】状态下时，每回合有两次移动不需要消耗移动位。</t>
    </r>
  </si>
  <si>
    <t>生命值低于50%的单位</t>
  </si>
  <si>
    <t>生命值高于50%的单位</t>
  </si>
  <si>
    <t>射线上的所有单位</t>
  </si>
  <si>
    <t>攻击所有高度层级较低的目标时，或自身不位于任何敌人的攻击范围内时，攻击获得两个奖励骰。
能够攻击高度层级低于神射手任意层的目标，而不是一层。</t>
  </si>
  <si>
    <t>回合结束时，获得1SP，如果本回合你没有进行过移动预备，改为获得3SP。每进入一个新的精英化阶段，额外回复1SP</t>
  </si>
  <si>
    <r>
      <rPr>
        <sz val="14"/>
        <color rgb="FFC00000"/>
        <rFont val="微软雅黑"/>
        <charset val="134"/>
      </rPr>
      <t>攻击一次，该次攻击获得奖励骰。</t>
    </r>
    <r>
      <rPr>
        <sz val="14"/>
        <color rgb="FF0070C0"/>
        <rFont val="微软雅黑"/>
        <charset val="134"/>
      </rPr>
      <t xml:space="preserve">
</t>
    </r>
    <r>
      <rPr>
        <sz val="14"/>
        <color rgb="FF843E0B"/>
        <rFont val="微软雅黑"/>
        <charset val="134"/>
      </rPr>
      <t>对目标施加【禁疗】</t>
    </r>
  </si>
  <si>
    <r>
      <rPr>
        <sz val="14"/>
        <color rgb="FFC00000"/>
        <rFont val="微软雅黑"/>
        <charset val="134"/>
      </rPr>
      <t>攻击一次，该次攻击获得奖励骰</t>
    </r>
    <r>
      <rPr>
        <sz val="14"/>
        <color rgb="FF0070C0"/>
        <rFont val="微软雅黑"/>
        <charset val="134"/>
      </rPr>
      <t xml:space="preserve">
</t>
    </r>
    <r>
      <rPr>
        <sz val="14"/>
        <color theme="5" tint="-0.5"/>
        <rFont val="微软雅黑"/>
        <charset val="134"/>
      </rPr>
      <t>对目标施加【束缚】</t>
    </r>
  </si>
  <si>
    <t>获得6个移动位。本回合你的移动不会解除【被瞄准】。</t>
  </si>
  <si>
    <t>按照由近至远的顺序各攻击一次该技艺选中的所有目标，每次攻击都使下一次的攻击获得额外的骰面降级，直到骰面降低至0或命中掩体</t>
  </si>
  <si>
    <t>阎王点卯</t>
  </si>
  <si>
    <t>木头人游戏</t>
  </si>
  <si>
    <t>众神之眼</t>
  </si>
  <si>
    <t>总攻击</t>
  </si>
  <si>
    <t>同盟支援</t>
  </si>
  <si>
    <t>正面的
整个战场</t>
  </si>
  <si>
    <t>伏击之影</t>
  </si>
  <si>
    <t>所有友方单位的控制区也被视为神射手的攻击范围。</t>
  </si>
  <si>
    <t>攻击范围中的
任意个单位</t>
  </si>
  <si>
    <t>所有单位</t>
  </si>
  <si>
    <r>
      <rPr>
        <sz val="14"/>
        <color rgb="FF3C5F21"/>
        <rFont val="微软雅黑"/>
        <charset val="134"/>
      </rPr>
      <t>击倒一个目标后，可无消耗地释放一次【潜行】</t>
    </r>
    <r>
      <rPr>
        <sz val="14"/>
        <color rgb="FF0070C0"/>
        <rFont val="微软雅黑"/>
        <charset val="134"/>
      </rPr>
      <t>，
并获得1快速行动。</t>
    </r>
  </si>
  <si>
    <t>对该技艺的所有目标各攻击一次</t>
  </si>
  <si>
    <r>
      <rPr>
        <sz val="14"/>
        <color rgb="FFC00000"/>
        <rFont val="微软雅黑"/>
        <charset val="134"/>
      </rPr>
      <t>释放【警戒】，本次【警戒】期间，你的【警戒打击】施放条件变为目标移动前且施加</t>
    </r>
    <r>
      <rPr>
        <sz val="14"/>
        <color rgb="FF843E0B"/>
        <rFont val="微软雅黑"/>
        <charset val="134"/>
      </rPr>
      <t>【束缚】。</t>
    </r>
  </si>
  <si>
    <t>直到你的下个回合开始，获得所有单位的视野，无视他们的【隐匿】和【迷彩】，他们全部被视为【被瞄准】。</t>
  </si>
  <si>
    <r>
      <rPr>
        <sz val="12"/>
        <color rgb="FFC00000"/>
        <rFont val="微软雅黑"/>
        <charset val="134"/>
      </rPr>
      <t>攻击一次</t>
    </r>
    <r>
      <rPr>
        <sz val="12"/>
        <color theme="5" tint="-0.5"/>
        <rFont val="微软雅黑"/>
        <charset val="134"/>
      </rPr>
      <t xml:space="preserve">，施加【标记】
</t>
    </r>
    <r>
      <rPr>
        <sz val="12"/>
        <color rgb="FFC00000"/>
        <rFont val="微软雅黑"/>
        <charset val="134"/>
      </rPr>
      <t>攻击范围内有该目标的友方单位均可立即对该目标无消耗地攻击一次</t>
    </r>
  </si>
  <si>
    <t>脱身矢</t>
  </si>
  <si>
    <t>狙杀</t>
  </si>
  <si>
    <t>猎杀名单</t>
  </si>
  <si>
    <t>战术电台</t>
  </si>
  <si>
    <t>射击指引</t>
  </si>
  <si>
    <t>整个战场</t>
  </si>
  <si>
    <t>目之所及</t>
  </si>
  <si>
    <t>拥有【标记】的单位被你视为拥有【被瞄准】。</t>
  </si>
  <si>
    <t>被神射手瞄准的
目标</t>
  </si>
  <si>
    <t>被神射手瞄准的目标所在战术格的中心九宫格范围也会被视为神射手的攻击范围（能够触发警戒）。神射手可以无消耗地将被瞄准的目标更改为上述范围中的另一单位，每回合限一次。</t>
  </si>
  <si>
    <r>
      <rPr>
        <sz val="14"/>
        <color rgb="FFC00000"/>
        <rFont val="微软雅黑"/>
        <charset val="134"/>
      </rPr>
      <t xml:space="preserve">攻击一次，施加【推击7】，
</t>
    </r>
    <r>
      <rPr>
        <sz val="14"/>
        <color rgb="FF0070C0"/>
        <rFont val="微软雅黑"/>
        <charset val="134"/>
      </rPr>
      <t>神射手向后突袭3战术格</t>
    </r>
    <r>
      <rPr>
        <sz val="14"/>
        <color rgb="FFC00000"/>
        <rFont val="微软雅黑"/>
        <charset val="134"/>
      </rPr>
      <t xml:space="preserve">
可作为反应动作，在即将受到攻击或有单位移动进入神射手的攻击范围时释放</t>
    </r>
  </si>
  <si>
    <t>攻击一次，获得骰面升级，或选择不攻击，使神射手下回合对同一目标释放该技艺时获得【暴击】</t>
  </si>
  <si>
    <t>神射手攻击目标时，被视为拥有【精准】与【穿透】，持续至战斗结束。该目标被击倒后，神射手可以选择新的目标。</t>
  </si>
  <si>
    <t>神射手能够在战斗之外消耗X源石锭布置X个一次性火力投送装置。选取一个单位，开始引导，【引导】到在神射手下回合开始，【引导】结束后装置所投送的火力将会抵达，对生效范围内的目标造成50点真实伤害并摧毁民用级障碍。若【引导】的目标脱离神射手的攻击范围，则中断【引导】</t>
  </si>
  <si>
    <t>速射</t>
  </si>
  <si>
    <t>翻滚</t>
  </si>
  <si>
    <t>直击</t>
  </si>
  <si>
    <t>速射手</t>
  </si>
  <si>
    <t>死亡之舞</t>
  </si>
  <si>
    <t>空摘</t>
  </si>
  <si>
    <t>速射手的回合结束时，若至少攻击过一次，则获得【魅影】，持续至速射手下回合开始。</t>
  </si>
  <si>
    <t>攻击具有【飞行】的目标（或者空中单位）时获得骰面升级，且攻击无法被闪避</t>
  </si>
  <si>
    <r>
      <rPr>
        <b/>
        <sz val="10"/>
        <color rgb="FFD9D9D9"/>
        <rFont val="微软雅黑"/>
        <charset val="134"/>
      </rPr>
      <t>穿戴</t>
    </r>
    <r>
      <rPr>
        <b/>
        <u/>
        <sz val="10"/>
        <color rgb="FFFFFFFF"/>
        <rFont val="微软雅黑"/>
        <charset val="134"/>
      </rPr>
      <t>轻甲</t>
    </r>
    <r>
      <rPr>
        <b/>
        <sz val="10"/>
        <color rgb="FFD9D9D9"/>
        <rFont val="微软雅黑"/>
        <charset val="134"/>
      </rPr>
      <t>，具有</t>
    </r>
    <r>
      <rPr>
        <b/>
        <u/>
        <sz val="10"/>
        <color rgb="FFFFFFFF"/>
        <rFont val="微软雅黑"/>
        <charset val="134"/>
      </rPr>
      <t>低生命值</t>
    </r>
    <r>
      <rPr>
        <b/>
        <sz val="10"/>
        <color rgb="FFD9D9D9"/>
        <rFont val="微软雅黑"/>
        <charset val="134"/>
      </rPr>
      <t xml:space="preserve">
擅长对敌人快速造成多次伤害的远程输出职业。</t>
    </r>
  </si>
  <si>
    <t>攻击一次。</t>
  </si>
  <si>
    <t>轻击三次。
每进入一个新的精英化阶段，就可额外轻击一次。</t>
  </si>
  <si>
    <t>向前/后/左/右连续移动3战术格
或者斜向连续移动2战术格
翻滚一次后，需要执行另一个消耗主要或快速行动的动作才能再次翻滚。</t>
  </si>
  <si>
    <t>攻击三次。</t>
  </si>
  <si>
    <r>
      <rPr>
        <b/>
        <sz val="10"/>
        <color theme="0" tint="-0.15"/>
        <rFont val="微软雅黑"/>
        <charset val="134"/>
      </rPr>
      <t>伤害骰面为</t>
    </r>
    <r>
      <rPr>
        <b/>
        <u/>
        <sz val="10"/>
        <color theme="0"/>
        <rFont val="微软雅黑"/>
        <charset val="134"/>
      </rPr>
      <t>D6</t>
    </r>
    <r>
      <rPr>
        <b/>
        <sz val="10"/>
        <color theme="0" tint="-0.15"/>
        <rFont val="微软雅黑"/>
        <charset val="134"/>
      </rPr>
      <t>的</t>
    </r>
    <r>
      <rPr>
        <b/>
        <u/>
        <sz val="10"/>
        <color theme="0" tint="-0.05"/>
        <rFont val="微软雅黑"/>
        <charset val="134"/>
      </rPr>
      <t>远程物理</t>
    </r>
    <r>
      <rPr>
        <b/>
        <sz val="10"/>
        <color theme="0" tint="-0.15"/>
        <rFont val="微软雅黑"/>
        <charset val="134"/>
      </rPr>
      <t>武器
通常是各种轻便灵活，在中近距离下火力充足的远程武器，如轻弩和短弓。
能够在中近距离发动接二连三的远程物理攻击，并灵活地与目标周旋。</t>
    </r>
  </si>
  <si>
    <t>几何追猎</t>
  </si>
  <si>
    <t>软化处理</t>
  </si>
  <si>
    <t>灵活伪装</t>
  </si>
  <si>
    <t>午时已到</t>
  </si>
  <si>
    <t>无解直架</t>
  </si>
  <si>
    <t>铁弦</t>
  </si>
  <si>
    <t>速射手在【警戒】期间的攻击能够被同一目标触发任意次，而不是仅一次。</t>
  </si>
  <si>
    <t>单位或战术格</t>
  </si>
  <si>
    <r>
      <rPr>
        <sz val="14"/>
        <color theme="7" tint="-0.5"/>
        <rFont val="微软雅黑"/>
        <charset val="134"/>
      </rPr>
      <t xml:space="preserve">战斗开始时，获得【护盾1】
</t>
    </r>
    <r>
      <rPr>
        <sz val="14"/>
        <color rgb="FF0070C0"/>
        <rFont val="微软雅黑"/>
        <charset val="134"/>
      </rPr>
      <t>该护盾被击破时，速射手获得3SP</t>
    </r>
  </si>
  <si>
    <t>你的回合结束时，回复1SP。
攻击命中后，回复1SP。同一轮次内，至多以此法回复3/4/5点SP(精零/精一/精二)</t>
  </si>
  <si>
    <t>攻击一次，弹体能弹射到中心8范围内的其他单位和战术格上，每次弹射视为单独的攻击，可弹射重复目标，至多弹射两次。精英化阶段二后，额外弹射一次</t>
  </si>
  <si>
    <t>轻击一次，施加【脆弱6/8】
持续到速射手下回合开始。
（随精英化提升）。</t>
  </si>
  <si>
    <t>获得【迷彩】，
持续至速射手下回合开始。</t>
  </si>
  <si>
    <t>【瞄准】所有目标。【引导】至下一回合开始，【引导】结束时，选择至多六个速射手可攻击的目标，各攻击一次，该技艺的攻击检定获得骰面升级</t>
  </si>
  <si>
    <t>间接打击</t>
  </si>
  <si>
    <t>标记射击</t>
  </si>
  <si>
    <t>及时退场</t>
  </si>
  <si>
    <t>死亡莲华</t>
  </si>
  <si>
    <t>后空翻</t>
  </si>
  <si>
    <t>中的</t>
  </si>
  <si>
    <t>速射手成功地释放【完全闪避】后，可向后突袭一个战术格</t>
  </si>
  <si>
    <t>地面或
障碍战术格</t>
  </si>
  <si>
    <t>速射手攻击命中具有【标记】的目标时，施加【震慑】</t>
  </si>
  <si>
    <r>
      <rPr>
        <sz val="14"/>
        <color rgb="FFC00000"/>
        <rFont val="微软雅黑"/>
        <charset val="134"/>
      </rPr>
      <t xml:space="preserve">攻击一次，弹体发生弹射以攻击一个新的单位，该次攻击会被视为速射手从目标战术格发起的，并且获得骰面升级。
</t>
    </r>
    <r>
      <rPr>
        <sz val="14"/>
        <color theme="0" tint="-0.5"/>
        <rFont val="微软雅黑"/>
        <charset val="134"/>
      </rPr>
      <t>如果该技艺选中了地面，则弹射攻击时的朝向与速射手的朝向相同。如果选中了障碍战术格，则朝向可以任意选择。</t>
    </r>
  </si>
  <si>
    <t>释放【侦测】，随后
轻击一次，施加【标记】</t>
  </si>
  <si>
    <r>
      <rPr>
        <sz val="10"/>
        <color rgb="FFC00000"/>
        <rFont val="微软雅黑"/>
        <charset val="134"/>
      </rPr>
      <t>攻击一次，</t>
    </r>
    <r>
      <rPr>
        <sz val="10"/>
        <color rgb="FF0070C0"/>
        <rFont val="微软雅黑"/>
        <charset val="134"/>
      </rPr>
      <t>速射手自身向后连续突袭3个战术格，期间如果触及了墙壁，则可借助墙壁向正前方腾跃，突袭至多5个战术格。可作为反应动作，在有单位进入释放范围时释放</t>
    </r>
  </si>
  <si>
    <t>分别攻击所有目标两次。【引导】到速射手的下一个回合开始，【引导】结束时，无消耗地再次释放该技艺，但不会重新进入【引导】</t>
  </si>
  <si>
    <t>视域延伸</t>
  </si>
  <si>
    <t>风暴之眼</t>
  </si>
  <si>
    <t>交叉火力</t>
  </si>
  <si>
    <t>全弹发射</t>
  </si>
  <si>
    <t>铁杵成针</t>
  </si>
  <si>
    <t>每次攻击都会使目标的物理抗性降低2点，持续至速射手的回合结束。</t>
  </si>
  <si>
    <t>速射手攻击具有【眩晕】的目标时，获得骰面升级。</t>
  </si>
  <si>
    <t>将攻击范围改为该技艺的释放范围，持续至战斗结束。</t>
  </si>
  <si>
    <t>速射手攻击（不包括轻击）时，可无消耗地额外对攻击范围内的另一单位进行一次普通攻击，持续至本回合结束。</t>
  </si>
  <si>
    <t>【瞄准】目标至速射手的下一回合开始。在【瞄准】结束之前，每当该目标被人其他友方单位攻击时，速射手就会对其追加一次攻击。</t>
  </si>
  <si>
    <t>攻击一次该技艺的目标。随后你可消耗3SP，额外攻击一次。该效果可重复发动，直到速射手的SP不足以触发该效果。</t>
  </si>
  <si>
    <t>辅助</t>
  </si>
  <si>
    <r>
      <rPr>
        <b/>
        <sz val="9"/>
        <color rgb="FF7030A0"/>
        <rFont val="微软雅黑"/>
        <charset val="134"/>
      </rPr>
      <t>【鼓舞X】</t>
    </r>
    <r>
      <rPr>
        <b/>
        <sz val="9"/>
        <color rgb="FF000000"/>
        <rFont val="微软雅黑"/>
        <charset val="134"/>
      </rPr>
      <t>：
进行攻击检定时，检定结果额外增加X点，持续至触发一次。当X＞0时，由该状态的持有者决定是否触发，当X＜0时，由该状态的施加者决定是否触发。</t>
    </r>
  </si>
  <si>
    <t>《生命流》</t>
  </si>
  <si>
    <t>《短兵相接》</t>
  </si>
  <si>
    <t>《回想》</t>
  </si>
  <si>
    <t>安可！</t>
  </si>
  <si>
    <t>吟游者</t>
  </si>
  <si>
    <t>吟游英雄</t>
  </si>
  <si>
    <t>《旅途前方》</t>
  </si>
  <si>
    <r>
      <rPr>
        <sz val="12"/>
        <color rgb="FF000000"/>
        <rFont val="微软雅黑"/>
        <charset val="134"/>
      </rPr>
      <t>释放吟游者技艺时，可消耗</t>
    </r>
    <r>
      <rPr>
        <sz val="12"/>
        <color rgb="FF0070C0"/>
        <rFont val="微软雅黑"/>
        <charset val="134"/>
      </rPr>
      <t>2SP</t>
    </r>
    <r>
      <rPr>
        <sz val="12"/>
        <color rgb="FF000000"/>
        <rFont val="微软雅黑"/>
        <charset val="134"/>
      </rPr>
      <t xml:space="preserve">，将该次技艺的生效目标改为
</t>
    </r>
    <r>
      <rPr>
        <sz val="12"/>
        <color rgb="FF0070C0"/>
        <rFont val="微软雅黑"/>
        <charset val="134"/>
      </rPr>
      <t>攻击范围内的任意个单位</t>
    </r>
    <r>
      <rPr>
        <sz val="12"/>
        <color rgb="FF000000"/>
        <rFont val="微软雅黑"/>
        <charset val="134"/>
      </rPr>
      <t>，
或</t>
    </r>
    <r>
      <rPr>
        <sz val="12"/>
        <color rgb="FF0070C0"/>
        <rFont val="微软雅黑"/>
        <charset val="134"/>
      </rPr>
      <t>视野内的单个友方单位</t>
    </r>
    <r>
      <rPr>
        <sz val="12"/>
        <color rgb="FF000000"/>
        <rFont val="微软雅黑"/>
        <charset val="134"/>
      </rPr>
      <t>。
通常情况下，吟游者技艺无法选取自身或者其他吟游者为目标</t>
    </r>
  </si>
  <si>
    <r>
      <rPr>
        <sz val="12"/>
        <color rgb="FF0070C0"/>
        <rFont val="微软雅黑"/>
        <charset val="134"/>
      </rPr>
      <t>吟游者施加的</t>
    </r>
    <r>
      <rPr>
        <sz val="12"/>
        <color rgb="FF7030A0"/>
        <rFont val="微软雅黑"/>
        <charset val="134"/>
      </rPr>
      <t>【鼓舞X】</t>
    </r>
    <r>
      <rPr>
        <sz val="12"/>
        <color rgb="FF0070C0"/>
        <rFont val="微软雅黑"/>
        <charset val="134"/>
      </rPr>
      <t>可在战斗外对任意的检定生效。该技艺可生效3次，长休或短休后刷新。
每进入一个新的精英化阶段，
刷新后的生效次数+1</t>
    </r>
  </si>
  <si>
    <r>
      <rPr>
        <b/>
        <sz val="10"/>
        <color rgb="FFD9D9D9"/>
        <rFont val="微软雅黑"/>
        <charset val="134"/>
      </rPr>
      <t>穿戴</t>
    </r>
    <r>
      <rPr>
        <b/>
        <u/>
        <sz val="10"/>
        <color rgb="FFFFFFFF"/>
        <rFont val="微软雅黑"/>
        <charset val="134"/>
      </rPr>
      <t>轻甲</t>
    </r>
    <r>
      <rPr>
        <b/>
        <sz val="10"/>
        <color rgb="FFD9D9D9"/>
        <rFont val="微软雅黑"/>
        <charset val="134"/>
      </rPr>
      <t>，具有</t>
    </r>
    <r>
      <rPr>
        <b/>
        <u/>
        <sz val="10"/>
        <color rgb="FFFFFFFF"/>
        <rFont val="微软雅黑"/>
        <charset val="134"/>
      </rPr>
      <t>中生命值</t>
    </r>
    <r>
      <rPr>
        <b/>
        <sz val="10"/>
        <color rgb="FFD9D9D9"/>
        <rFont val="微软雅黑"/>
        <charset val="134"/>
      </rPr>
      <t xml:space="preserve">
擅长对范围内友方角色进行持续辅助和恢复的职业。</t>
    </r>
  </si>
  <si>
    <t>对目标释放【辅助治疗】</t>
  </si>
  <si>
    <r>
      <rPr>
        <sz val="14"/>
        <color rgb="FF0070C0"/>
        <rFont val="微软雅黑"/>
        <charset val="134"/>
      </rPr>
      <t>进行一次攻击检定，使用辅助骰，对目标施加</t>
    </r>
    <r>
      <rPr>
        <sz val="14"/>
        <color rgb="FF7030A0"/>
        <rFont val="微软雅黑"/>
        <charset val="134"/>
      </rPr>
      <t>【鼓舞X】</t>
    </r>
    <r>
      <rPr>
        <sz val="14"/>
        <color rgb="FF0070C0"/>
        <rFont val="微软雅黑"/>
        <charset val="134"/>
      </rPr>
      <t>，
X=该次攻击检定的结果。</t>
    </r>
  </si>
  <si>
    <r>
      <rPr>
        <sz val="12"/>
        <color theme="5" tint="-0.5"/>
        <rFont val="微软雅黑"/>
        <charset val="134"/>
      </rPr>
      <t>进行一次攻击检定，使用辅助骰，对目标施加</t>
    </r>
    <r>
      <rPr>
        <sz val="12"/>
        <color rgb="FF7030A0"/>
        <rFont val="微软雅黑"/>
        <charset val="134"/>
      </rPr>
      <t>【鼓舞-X】</t>
    </r>
    <r>
      <rPr>
        <sz val="12"/>
        <color theme="5" tint="-0.5"/>
        <rFont val="微软雅黑"/>
        <charset val="134"/>
      </rPr>
      <t>，
X=该次攻击检定的结果。</t>
    </r>
  </si>
  <si>
    <t>作为反应动作，在自身回合结束后释放。重新释放一次上回合中所使用过的吟游者技艺，这些技艺不消耗行动而仅消耗SP</t>
  </si>
  <si>
    <r>
      <rPr>
        <b/>
        <sz val="10"/>
        <color rgb="FFD9D9D9"/>
        <rFont val="微软雅黑"/>
        <charset val="134"/>
      </rPr>
      <t>骰面为</t>
    </r>
    <r>
      <rPr>
        <b/>
        <u/>
        <sz val="10"/>
        <color rgb="FFFFFFFF"/>
        <rFont val="微软雅黑"/>
        <charset val="134"/>
      </rPr>
      <t>D4</t>
    </r>
    <r>
      <rPr>
        <b/>
        <sz val="10"/>
        <color rgb="FFD9D9D9"/>
        <rFont val="微软雅黑"/>
        <charset val="134"/>
      </rPr>
      <t>的</t>
    </r>
    <r>
      <rPr>
        <b/>
        <u/>
        <sz val="10"/>
        <color rgb="FFFFFFFF"/>
        <rFont val="微软雅黑"/>
        <charset val="134"/>
      </rPr>
      <t>远程法术</t>
    </r>
    <r>
      <rPr>
        <b/>
        <sz val="10"/>
        <color rgb="FFD9D9D9"/>
        <rFont val="微软雅黑"/>
        <charset val="134"/>
      </rPr>
      <t>武器。</t>
    </r>
    <r>
      <rPr>
        <b/>
        <u/>
        <sz val="10"/>
        <color rgb="FFD9D9D9"/>
        <rFont val="微软雅黑"/>
        <charset val="134"/>
      </rPr>
      <t>特别地，吟游者武器的依赖技能可以是声乐</t>
    </r>
    <r>
      <rPr>
        <b/>
        <sz val="10"/>
        <color rgb="FFD9D9D9"/>
        <rFont val="微软雅黑"/>
        <charset val="134"/>
      </rPr>
      <t>，即使该技能并不是战斗技能。
通常来说是各类乐器或音乐设备，但也包括一些施法媒介。相比于其他施法媒介，更看重使用者的支援能力。</t>
    </r>
  </si>
  <si>
    <t>《无责任集合体》</t>
  </si>
  <si>
    <t>《也许是风》</t>
  </si>
  <si>
    <t>《哈雪大冒险》</t>
  </si>
  <si>
    <t>音律联觉</t>
  </si>
  <si>
    <t>《春日影》</t>
  </si>
  <si>
    <t>《空之箱》</t>
  </si>
  <si>
    <t>投掷辅助骰时，将吟游者的个人魅力值添加到掷骰结果中。</t>
  </si>
  <si>
    <t>吟游者攻击范围内的友方单位获得对震慑、眩晕、困顿、睡眠的精神意志豁免。
因该技艺而进行豁免检定时，吟游者可进行个人魅力检定作为该检定的协助。</t>
  </si>
  <si>
    <t>你的回合结束时，获得2SP。
（每进入一个新的阶段，获得的SP+1）</t>
  </si>
  <si>
    <t>作为反应动作，在攻击范围内的友方单位受到伤害后释放。选择若任意个可包括自身的自愿单位，将受伤单位所受的伤害均分到这些单位身上（向上取整）</t>
  </si>
  <si>
    <t>对目标施加【魅影】。</t>
  </si>
  <si>
    <t>【引导】至下回合开始，任意单位在吟游者攻击范围内开始或结束回合时，吟游者可无消耗地攻击一次该目标，随后施加【困顿】</t>
  </si>
  <si>
    <t>在即将释放一个吟游者技艺时可释放。将该吟游者技艺的生效目标改为场景中的任意个友方单位</t>
  </si>
  <si>
    <t>《here，the word！！！》</t>
  </si>
  <si>
    <t>《碧走绊天》</t>
  </si>
  <si>
    <t>《派对浪客》</t>
  </si>
  <si>
    <t>《颜》</t>
  </si>
  <si>
    <t>《焚音打》</t>
  </si>
  <si>
    <t>《巫王》</t>
  </si>
  <si>
    <r>
      <rPr>
        <sz val="14"/>
        <color rgb="FF0070C0"/>
        <rFont val="微软雅黑"/>
        <charset val="134"/>
      </rPr>
      <t>通过吟游者技艺与天赋施加的</t>
    </r>
    <r>
      <rPr>
        <sz val="14"/>
        <color rgb="FF7030A0"/>
        <rFont val="微软雅黑"/>
        <charset val="134"/>
      </rPr>
      <t>【鼓舞】</t>
    </r>
    <r>
      <rPr>
        <sz val="14"/>
        <color rgb="FF0070C0"/>
        <rFont val="微软雅黑"/>
        <charset val="134"/>
      </rPr>
      <t xml:space="preserve">可与已有的
</t>
    </r>
    <r>
      <rPr>
        <sz val="14"/>
        <color rgb="FF7030A0"/>
        <rFont val="微软雅黑"/>
        <charset val="134"/>
      </rPr>
      <t>【鼓舞】</t>
    </r>
    <r>
      <rPr>
        <sz val="14"/>
        <color rgb="FF0070C0"/>
        <rFont val="微软雅黑"/>
        <charset val="134"/>
      </rPr>
      <t>叠加。</t>
    </r>
  </si>
  <si>
    <t>吟游者将某个术式的释放方式投射到音乐的节奏之中。
每次长休限一次，吟游者能够施展一个任意的法术，使用声乐技能进行检定，以吟游者的攻击范围作为施法范围，正常消耗行动和SP。
这个法术需要在长休时提前预备。</t>
  </si>
  <si>
    <r>
      <rPr>
        <sz val="12"/>
        <color rgb="FF0070C0"/>
        <rFont val="微软雅黑"/>
        <charset val="134"/>
      </rPr>
      <t>作为反应动作，在视野内的友方单位即将进行攻击时释放。进行一次攻击检定，使用辅助骰，对目标施加</t>
    </r>
    <r>
      <rPr>
        <sz val="12"/>
        <color rgb="FF7030A0"/>
        <rFont val="微软雅黑"/>
        <charset val="134"/>
      </rPr>
      <t>【鼓舞X】</t>
    </r>
    <r>
      <rPr>
        <sz val="12"/>
        <color rgb="FF0070C0"/>
        <rFont val="微软雅黑"/>
        <charset val="134"/>
      </rPr>
      <t>，X=该次攻击检定的结果。</t>
    </r>
  </si>
  <si>
    <t>使目标获得3点SP</t>
  </si>
  <si>
    <t>【引导】至吟游者选择结束。【引导】期间，令目标不受控制地舞蹈，即被施加可被精神意志豁免的【眩晕】。受此效果影响的单位回合结束或受到伤害时，都可重新进行豁免检定。</t>
  </si>
  <si>
    <t>将攻击范围扩大至中心20，
吟游者的个人魅力翻倍，持续至战斗结束。</t>
  </si>
  <si>
    <t>《空白与宣泄》</t>
  </si>
  <si>
    <t>《no bet，no life》</t>
  </si>
  <si>
    <t>《天球》</t>
  </si>
  <si>
    <t>《勤劳又勇敢的吟游者》</t>
  </si>
  <si>
    <t>《机械心》</t>
  </si>
  <si>
    <t>《重力场》</t>
  </si>
  <si>
    <r>
      <rPr>
        <sz val="14"/>
        <color rgb="FF0070C0"/>
        <rFont val="微软雅黑"/>
        <charset val="134"/>
      </rPr>
      <t xml:space="preserve">允许吟游者施加的
</t>
    </r>
    <r>
      <rPr>
        <sz val="14"/>
        <color rgb="FF7030A0"/>
        <rFont val="微软雅黑"/>
        <charset val="134"/>
      </rPr>
      <t>【鼓舞】</t>
    </r>
    <r>
      <rPr>
        <sz val="14"/>
        <color rgb="FF0070C0"/>
        <rFont val="微软雅黑"/>
        <charset val="134"/>
      </rPr>
      <t>对战斗内的任何检定生效，而不仅是攻击检定。</t>
    </r>
  </si>
  <si>
    <r>
      <rPr>
        <sz val="11"/>
        <rFont val="微软雅黑"/>
        <charset val="134"/>
      </rPr>
      <t>当吟游者的攻击范围内有单位进行任意检定（不包括自控检定）时，吟游者可以消耗1SP，令检定结果</t>
    </r>
    <r>
      <rPr>
        <sz val="11"/>
        <color rgb="FF0070C0"/>
        <rFont val="微软雅黑"/>
        <charset val="134"/>
      </rPr>
      <t>增加</t>
    </r>
    <r>
      <rPr>
        <sz val="11"/>
        <rFont val="微软雅黑"/>
        <charset val="134"/>
      </rPr>
      <t>或</t>
    </r>
    <r>
      <rPr>
        <sz val="11"/>
        <color theme="5" tint="-0.5"/>
        <rFont val="微软雅黑"/>
        <charset val="134"/>
      </rPr>
      <t>减少</t>
    </r>
    <r>
      <rPr>
        <sz val="11"/>
        <rFont val="微软雅黑"/>
        <charset val="134"/>
      </rPr>
      <t>等同于吟游者个人魅力的数值。</t>
    </r>
  </si>
  <si>
    <t>HP上限=生理耐受×2.5+
（生理耐受/8+2）×升级次数</t>
  </si>
  <si>
    <r>
      <rPr>
        <sz val="14"/>
        <color rgb="FF0070C0"/>
        <rFont val="微软雅黑"/>
        <charset val="134"/>
      </rPr>
      <t>仅在战斗开始时可释放，立即对目标施加</t>
    </r>
    <r>
      <rPr>
        <sz val="14"/>
        <color rgb="FF7030A0"/>
        <rFont val="微软雅黑"/>
        <charset val="134"/>
      </rPr>
      <t>【鼓舞15】</t>
    </r>
  </si>
  <si>
    <t>作为反应动作，在视野内有单位完成任意一次检定后释放。
令其立即重新检定一次，并且必须接受新的掷骰结果。在战斗外使用时，至多可用三次，在短休或长休后刷新。</t>
  </si>
  <si>
    <r>
      <rPr>
        <sz val="14"/>
        <color rgb="FF0070C0"/>
        <rFont val="微软雅黑"/>
        <charset val="134"/>
      </rPr>
      <t>在目标战术格中召唤</t>
    </r>
    <r>
      <rPr>
        <sz val="14"/>
        <color rgb="FF7030A0"/>
        <rFont val="微软雅黑"/>
        <charset val="134"/>
      </rPr>
      <t>【共鸣】</t>
    </r>
    <r>
      <rPr>
        <sz val="14"/>
        <color rgb="FF0070C0"/>
        <rFont val="微软雅黑"/>
        <charset val="134"/>
      </rPr>
      <t xml:space="preserve">
若</t>
    </r>
    <r>
      <rPr>
        <sz val="14"/>
        <color rgb="FF7030A0"/>
        <rFont val="微软雅黑"/>
        <charset val="134"/>
      </rPr>
      <t>【共鸣】</t>
    </r>
    <r>
      <rPr>
        <sz val="14"/>
        <color rgb="FF0070C0"/>
        <rFont val="微软雅黑"/>
        <charset val="134"/>
      </rPr>
      <t>已存在，则不消耗耐力，并将</t>
    </r>
    <r>
      <rPr>
        <sz val="14"/>
        <color rgb="FF7030A0"/>
        <rFont val="微软雅黑"/>
        <charset val="134"/>
      </rPr>
      <t>【共鸣】</t>
    </r>
    <r>
      <rPr>
        <sz val="14"/>
        <color rgb="FF0070C0"/>
        <rFont val="微软雅黑"/>
        <charset val="134"/>
      </rPr>
      <t>部署到新的战术格中。</t>
    </r>
  </si>
  <si>
    <t>使目标获得相当于一次短休的
各种增益。</t>
  </si>
  <si>
    <t>共鸣</t>
  </si>
  <si>
    <t>该召唤物周围中心8的范围也被视为吟游者的攻击范围。</t>
  </si>
  <si>
    <t>特种</t>
  </si>
  <si>
    <r>
      <rPr>
        <b/>
        <sz val="11"/>
        <color rgb="FF7030A0"/>
        <rFont val="微软雅黑"/>
        <charset val="134"/>
      </rPr>
      <t>【未察觉】</t>
    </r>
    <r>
      <rPr>
        <b/>
        <sz val="11"/>
        <rFont val="微软雅黑"/>
        <charset val="134"/>
      </rPr>
      <t>：你不在任何敌人的视野内，或者你拥有【隐匿】/【迷彩】。</t>
    </r>
  </si>
  <si>
    <t>刺杀</t>
  </si>
  <si>
    <t>不着相</t>
  </si>
  <si>
    <t>无我</t>
  </si>
  <si>
    <t>猎人标记</t>
  </si>
  <si>
    <t>处决者</t>
  </si>
  <si>
    <t>背刺</t>
  </si>
  <si>
    <t>落位</t>
  </si>
  <si>
    <t>处决者从目标身后发起近战攻击时，无视目标50%的物理抗性，至多无视30点。</t>
  </si>
  <si>
    <t>拥有【未察觉】时，通过移动预备获得的移动位+1
（每进入一个新的精英化阶段，移动位额外+1）</t>
  </si>
  <si>
    <r>
      <rPr>
        <b/>
        <sz val="10"/>
        <color rgb="FFD9D9D9"/>
        <rFont val="微软雅黑"/>
        <charset val="134"/>
      </rPr>
      <t>穿戴</t>
    </r>
    <r>
      <rPr>
        <b/>
        <u/>
        <sz val="10"/>
        <color rgb="FFFFFFFF"/>
        <rFont val="微软雅黑"/>
        <charset val="134"/>
      </rPr>
      <t>轻甲</t>
    </r>
    <r>
      <rPr>
        <b/>
        <sz val="10"/>
        <color rgb="FFD9D9D9"/>
        <rFont val="微软雅黑"/>
        <charset val="134"/>
      </rPr>
      <t>，具有</t>
    </r>
    <r>
      <rPr>
        <b/>
        <u/>
        <sz val="10"/>
        <color rgb="FFFFFFFF"/>
        <rFont val="微软雅黑"/>
        <charset val="134"/>
      </rPr>
      <t>中生命值</t>
    </r>
    <r>
      <rPr>
        <b/>
        <sz val="10"/>
        <color rgb="FFD9D9D9"/>
        <rFont val="微软雅黑"/>
        <charset val="134"/>
      </rPr>
      <t xml:space="preserve">
擅长隐秘地突破阵线并寻求机会一击必杀的近战输出职业。</t>
    </r>
  </si>
  <si>
    <t>仅在具有【隐匿】/【迷彩】时可用
移除【隐匿】/【迷彩】，攻击一次，该次攻击暴击，获得骰面降级。</t>
  </si>
  <si>
    <t>释放【完全闪避】。
可作为反应动作，在即将遭到攻击时释放。每轮限一次，每进入一个新的精英化阶段，可额外释放一次。</t>
  </si>
  <si>
    <t>释放【潜行】和【移动预备】</t>
  </si>
  <si>
    <t>对目标施加【猎人标记】。
【猎人标记】：处决者对携带该状态的单位发起的攻击获得骰面升级。携带该标记的单位被击倒时，处决者回复1耐力。</t>
  </si>
  <si>
    <r>
      <rPr>
        <b/>
        <sz val="10"/>
        <color rgb="FFD9D9D9"/>
        <rFont val="微软雅黑"/>
        <charset val="134"/>
      </rPr>
      <t>伤害骰面为</t>
    </r>
    <r>
      <rPr>
        <b/>
        <u/>
        <sz val="10"/>
        <color rgb="FFFFFFFF"/>
        <rFont val="微软雅黑"/>
        <charset val="134"/>
      </rPr>
      <t>D6</t>
    </r>
    <r>
      <rPr>
        <b/>
        <sz val="10"/>
        <color rgb="FFD9D9D9"/>
        <rFont val="微软雅黑"/>
        <charset val="134"/>
      </rPr>
      <t>的</t>
    </r>
    <r>
      <rPr>
        <b/>
        <u/>
        <sz val="10"/>
        <color rgb="FFFFFFFF"/>
        <rFont val="微软雅黑"/>
        <charset val="134"/>
      </rPr>
      <t>近战物理</t>
    </r>
    <r>
      <rPr>
        <b/>
        <sz val="10"/>
        <color rgb="FFD9D9D9"/>
        <rFont val="微软雅黑"/>
        <charset val="134"/>
      </rPr>
      <t>武器
各种轻便且致命的轻武器，如匕首与短刀剑。能够发挥出使用者的灵活身段，突进到脆弱的目标附近以造成爆发式的伤害。</t>
    </r>
  </si>
  <si>
    <t>霞身</t>
  </si>
  <si>
    <t>脱身闪光</t>
  </si>
  <si>
    <t>华丽转身</t>
  </si>
  <si>
    <t>阎魔</t>
  </si>
  <si>
    <t>惊弓之羽</t>
  </si>
  <si>
    <t>矫健</t>
  </si>
  <si>
    <t>若处决者在敌方未察觉的状态下发起战斗，则在战斗正式开始前，先进行一个处决者的回合。在该回合中，处决者的所有检定骰面升级。</t>
  </si>
  <si>
    <t>通过自身的行动移除【隐匿】/【迷彩】时，获得一个快速行动。</t>
  </si>
  <si>
    <t>你的回合结束时，获得1SP，如果你处于【未察觉】状态，改为获得4SP。（每进入一个新的阶段，获得的SP+1）</t>
  </si>
  <si>
    <t>对自身施加直到下一轮结束的
【迷彩】。</t>
  </si>
  <si>
    <t>对除自身以外的所有单位施加直到下一轮结束的【目盲】。可以在其他单位回合开始时释放，不会触发反应动作，不会使自身离开【未察觉】状态。</t>
  </si>
  <si>
    <t>【突袭】一个战术格，获得5个移动位。</t>
  </si>
  <si>
    <t>处于【未察觉】状态才能释放，你的下一次攻击【骰面升级】且获得五个奖励骰。</t>
  </si>
  <si>
    <t>暗含恶意</t>
  </si>
  <si>
    <t>滂沱之刃</t>
  </si>
  <si>
    <t>潜入虚空</t>
  </si>
  <si>
    <t>急鹰</t>
  </si>
  <si>
    <t>恶意积攒</t>
  </si>
  <si>
    <t>梁上君子</t>
  </si>
  <si>
    <t>处决者在重复获得【伤害提升】时，能够将其数值叠加而不是相互替代，至多叠加至100层
攻击时不再消耗所有的【伤害提升】，而是使其减少10层</t>
  </si>
  <si>
    <r>
      <rPr>
        <sz val="12"/>
        <color rgb="FF0070C0"/>
        <rFont val="微软雅黑"/>
        <charset val="134"/>
      </rPr>
      <t>处决者的跳跃范围扩大至中心32，</t>
    </r>
    <r>
      <rPr>
        <sz val="12"/>
        <color rgb="FFC00000"/>
        <rFont val="微软雅黑"/>
        <charset val="134"/>
      </rPr>
      <t xml:space="preserve">
从较高处跳跃至较低处后，若攻击范围内有目标，可立刻进行一次普通攻击或释放攻击技艺。这次攻击会被视为从该目标的背面发起的。</t>
    </r>
  </si>
  <si>
    <t>仅在【未察觉】时可释放
获得【伤害提升15】</t>
  </si>
  <si>
    <r>
      <rPr>
        <sz val="14"/>
        <color rgb="FFC00000"/>
        <rFont val="微软雅黑"/>
        <charset val="134"/>
      </rPr>
      <t>攻击一次，对生效范围内的任意个单位造成伤害</t>
    </r>
    <r>
      <rPr>
        <sz val="14"/>
        <color rgb="FF843E0B"/>
        <rFont val="微软雅黑"/>
        <charset val="134"/>
      </rPr>
      <t>并施加【眩晕】。</t>
    </r>
  </si>
  <si>
    <t>对自身施加直到战斗结束的
【迷彩】。</t>
  </si>
  <si>
    <r>
      <rPr>
        <sz val="12"/>
        <color theme="7" tint="-0.5"/>
        <rFont val="微软雅黑"/>
        <charset val="134"/>
      </rPr>
      <t>自身【突袭】6个战术格，</t>
    </r>
    <r>
      <rPr>
        <sz val="12"/>
        <color rgb="FF0070C0"/>
        <rFont val="微软雅黑"/>
        <charset val="134"/>
      </rPr>
      <t>移动中经过的战术格上每有一个单位获得2SP。</t>
    </r>
  </si>
  <si>
    <t>鬼人乱舞</t>
  </si>
  <si>
    <t>鬼步</t>
  </si>
  <si>
    <t>车裂之刑</t>
  </si>
  <si>
    <t>鬼人化</t>
  </si>
  <si>
    <t>刺骨之锋</t>
  </si>
  <si>
    <t>谋杀连诛</t>
  </si>
  <si>
    <t>处决者的攻击最少会造成
攻击技能值×2的最终伤害。（该结算在伤害强化之前）</t>
  </si>
  <si>
    <t>击倒一个单位后，
获得一个主要行动。</t>
  </si>
  <si>
    <t>攻击8次，所有攻击骰面降级。
下回合开始时，再攻击8次，所有攻击骰面降级。。</t>
  </si>
  <si>
    <t>【突袭】两个战术格。
可作为反应动作，在成功地抵消一次攻击后释放。</t>
  </si>
  <si>
    <t>攻击1次，如果你处于【未察觉】状态，你选择消耗0-5SP，造成1次目标当前HP10%的真实伤害。每消耗1SP，追加造成1次目标当前生命值10%的真实伤害。</t>
  </si>
  <si>
    <t>仅在【未察觉】时可释放，获得【鬼人化】
【鬼人化】：回合结束时，获得【伤害提升15】，离开【未察觉】状态，或进行攻击时，该状态终止。</t>
  </si>
  <si>
    <t>力量</t>
  </si>
  <si>
    <t>防御</t>
  </si>
  <si>
    <t>毒素中和</t>
  </si>
  <si>
    <t>恍惚</t>
  </si>
  <si>
    <t>怪杰</t>
  </si>
  <si>
    <t>怪异杰作</t>
  </si>
  <si>
    <t>灵光一闪</t>
  </si>
  <si>
    <t>使用技艺施加状态后，对攻击范围内另一个目标施加【下一次检定获得一个惩罚骰】。</t>
  </si>
  <si>
    <t>一个单位</t>
  </si>
  <si>
    <t>攻击范围内有单位被施加任意状态时，可以记录该状态。自身施加状态时，可以选择将施加的状态替换为记录的状态并移除记录。替换可生效3次，长休后刷新。每进入一个新的精英化阶段，刷新后的替换次数+1。</t>
  </si>
  <si>
    <t>擅长同时对目标施加负面状态或伤害与正面状态的职业。</t>
  </si>
  <si>
    <r>
      <rPr>
        <sz val="12"/>
        <color rgb="FFC00000"/>
        <rFont val="微软雅黑"/>
        <charset val="134"/>
      </rPr>
      <t>目标失去当前生命值的20%，</t>
    </r>
    <r>
      <rPr>
        <sz val="12"/>
        <color rgb="FF0070C0"/>
        <rFont val="微软雅黑"/>
        <charset val="134"/>
      </rPr>
      <t>怪杰进行一次攻击检定，使用辅助骰，对目标施加【伤害强化X】，X=该次攻击检定的结果。</t>
    </r>
  </si>
  <si>
    <r>
      <rPr>
        <sz val="12"/>
        <color rgb="FFC00000"/>
        <rFont val="微软雅黑"/>
        <charset val="134"/>
      </rPr>
      <t>目标失去当前生命值的20%，，</t>
    </r>
    <r>
      <rPr>
        <sz val="12"/>
        <color rgb="FF3C5F21"/>
        <rFont val="微软雅黑"/>
        <charset val="134"/>
      </rPr>
      <t>怪杰进行一次攻击检定，使用辅助骰，对目标施加【屏障X】，X=该次攻击检定的结果。</t>
    </r>
  </si>
  <si>
    <r>
      <rPr>
        <sz val="12"/>
        <color rgb="FF000000"/>
        <rFont val="微软雅黑"/>
        <charset val="134"/>
      </rPr>
      <t>指定单位，选择：</t>
    </r>
    <r>
      <rPr>
        <sz val="12"/>
        <color rgb="FF3C5F21"/>
        <rFont val="微软雅黑"/>
        <charset val="134"/>
      </rPr>
      <t>清除目标1个任意的指定状态。</t>
    </r>
    <r>
      <rPr>
        <sz val="12"/>
        <color rgb="FF000000"/>
        <rFont val="微软雅黑"/>
        <charset val="134"/>
      </rPr>
      <t>或者使目标</t>
    </r>
    <r>
      <rPr>
        <sz val="12"/>
        <color rgb="FFC00000"/>
        <rFont val="微软雅黑"/>
        <charset val="134"/>
      </rPr>
      <t>失去/</t>
    </r>
    <r>
      <rPr>
        <sz val="12"/>
        <color rgb="FF3C5F21"/>
        <rFont val="微软雅黑"/>
        <charset val="134"/>
      </rPr>
      <t>恢复</t>
    </r>
    <r>
      <rPr>
        <sz val="12"/>
        <color rgb="FF000000"/>
        <rFont val="微软雅黑"/>
        <charset val="134"/>
      </rPr>
      <t>当前生命值的20%</t>
    </r>
  </si>
  <si>
    <r>
      <rPr>
        <sz val="14"/>
        <color rgb="FF0070C0"/>
        <rFont val="微软雅黑"/>
        <charset val="134"/>
      </rPr>
      <t>获得一个主要行动，</t>
    </r>
    <r>
      <rPr>
        <sz val="14"/>
        <color rgb="FF843E0B"/>
        <rFont val="微软雅黑"/>
        <charset val="134"/>
      </rPr>
      <t>对目标施加【下个回合开始时，失去一个主要行动】。</t>
    </r>
  </si>
  <si>
    <r>
      <rPr>
        <b/>
        <sz val="10"/>
        <color rgb="FFD9D9D9"/>
        <rFont val="微软雅黑"/>
        <charset val="134"/>
      </rPr>
      <t>伤害骰面为</t>
    </r>
    <r>
      <rPr>
        <b/>
        <u/>
        <sz val="10"/>
        <color rgb="FFD9D9D9"/>
        <rFont val="微软雅黑"/>
        <charset val="134"/>
      </rPr>
      <t>D4</t>
    </r>
    <r>
      <rPr>
        <b/>
        <sz val="10"/>
        <color rgb="FFD9D9D9"/>
        <rFont val="微软雅黑"/>
        <charset val="134"/>
      </rPr>
      <t>的</t>
    </r>
    <r>
      <rPr>
        <b/>
        <u/>
        <sz val="10"/>
        <color rgb="FFD9D9D9"/>
        <rFont val="微软雅黑"/>
        <charset val="134"/>
      </rPr>
      <t>远程物理</t>
    </r>
    <r>
      <rPr>
        <b/>
        <sz val="10"/>
        <color rgb="FFD9D9D9"/>
        <rFont val="微软雅黑"/>
        <charset val="134"/>
      </rPr>
      <t>武器</t>
    </r>
    <r>
      <rPr>
        <b/>
        <sz val="10"/>
        <color rgb="FFD9D9D9"/>
        <rFont val="微软雅黑"/>
        <charset val="134"/>
      </rPr>
      <t xml:space="preserve">
</t>
    </r>
    <r>
      <rPr>
        <b/>
        <sz val="10"/>
        <color rgb="FFD9D9D9"/>
        <rFont val="微软雅黑"/>
        <charset val="134"/>
      </rPr>
      <t>各种灵活多变的单手发射器。</t>
    </r>
    <r>
      <rPr>
        <b/>
        <sz val="10"/>
        <color rgb="FFD9D9D9"/>
        <rFont val="微软雅黑"/>
        <charset val="134"/>
      </rPr>
      <t xml:space="preserve">
</t>
    </r>
    <r>
      <rPr>
        <b/>
        <sz val="10"/>
        <color rgb="FFD9D9D9"/>
        <rFont val="微软雅黑"/>
        <charset val="134"/>
      </rPr>
      <t>能够在中近距离制造花样繁多的辅助效果，并造成补充性的物理伤害。</t>
    </r>
  </si>
  <si>
    <t>强力兴奋剂</t>
  </si>
  <si>
    <t>催眠疗法</t>
  </si>
  <si>
    <t>放血疗法</t>
  </si>
  <si>
    <t>切除疗法</t>
  </si>
  <si>
    <t>代偿</t>
  </si>
  <si>
    <t>双盲</t>
  </si>
  <si>
    <t>投掷辅助骰时，将怪杰的经验智慧添加到掷骰结果中。</t>
  </si>
  <si>
    <t>自身施加的状态无法被豁免。</t>
  </si>
  <si>
    <r>
      <rPr>
        <b/>
        <sz val="10"/>
        <color rgb="FFD9D9D9"/>
        <rFont val="微软雅黑"/>
        <charset val="134"/>
      </rPr>
      <t>每你的回合结束时，失去2HP，获得3SP。</t>
    </r>
    <r>
      <rPr>
        <b/>
        <sz val="10"/>
        <color rgb="FFD9D9D9"/>
        <rFont val="微软雅黑"/>
        <charset val="134"/>
      </rPr>
      <t xml:space="preserve">
</t>
    </r>
    <r>
      <rPr>
        <b/>
        <sz val="10"/>
        <color rgb="FFD9D9D9"/>
        <rFont val="微软雅黑"/>
        <charset val="134"/>
      </rPr>
      <t>（每进入一个新的阶段，失去的hp+4，获得的SP+1）</t>
    </r>
  </si>
  <si>
    <t>目标获得1点耐力与【下个自身回合开始时，获得1个快速行动】。</t>
  </si>
  <si>
    <r>
      <rPr>
        <sz val="12"/>
        <color rgb="FF843E0B"/>
        <rFont val="微软雅黑"/>
        <charset val="134"/>
      </rPr>
      <t>对目标施加持续至目标回合结束一次的【眩晕】，</t>
    </r>
    <r>
      <rPr>
        <sz val="12"/>
        <color rgb="FF0070C0"/>
        <rFont val="微软雅黑"/>
        <charset val="134"/>
      </rPr>
      <t>对目标施加【下一个自己的回合开始时，获得1个主要行动与快速行动】。</t>
    </r>
  </si>
  <si>
    <r>
      <rPr>
        <sz val="12"/>
        <color rgb="FF0070C0"/>
        <rFont val="微软雅黑"/>
        <charset val="134"/>
      </rPr>
      <t>对目标施加【损失HP时获得2SP】与</t>
    </r>
    <r>
      <rPr>
        <sz val="12"/>
        <color rgb="FFC00000"/>
        <rFont val="微软雅黑"/>
        <charset val="134"/>
      </rPr>
      <t>【每次主动移动时失去生命值上限的10%】</t>
    </r>
    <r>
      <rPr>
        <sz val="12"/>
        <color rgb="FF000000"/>
        <rFont val="微软雅黑"/>
        <charset val="134"/>
      </rPr>
      <t>，都持续至本轮结束。</t>
    </r>
  </si>
  <si>
    <r>
      <rPr>
        <sz val="14"/>
        <color rgb="FF3C5F21"/>
        <rFont val="微软雅黑"/>
        <charset val="134"/>
      </rPr>
      <t>对目标施加【护盾3】与</t>
    </r>
    <r>
      <rPr>
        <sz val="14"/>
        <color rgb="FF3C5F21"/>
        <rFont val="微软雅黑"/>
        <charset val="134"/>
      </rPr>
      <t xml:space="preserve">
</t>
    </r>
    <r>
      <rPr>
        <sz val="14"/>
        <color rgb="FF843E0B"/>
        <rFont val="微软雅黑"/>
        <charset val="134"/>
      </rPr>
      <t>【禁疗】</t>
    </r>
    <r>
      <rPr>
        <sz val="14"/>
        <color rgb="FF3C5F21"/>
        <rFont val="微软雅黑"/>
        <charset val="134"/>
      </rPr>
      <t>，直到护盾消失。</t>
    </r>
  </si>
  <si>
    <t>MARKⅡ</t>
  </si>
  <si>
    <t>肾上腺素</t>
  </si>
  <si>
    <t>脑力开发</t>
  </si>
  <si>
    <t>肌肉萎缩</t>
  </si>
  <si>
    <t>医者自医</t>
  </si>
  <si>
    <t>久病将死</t>
  </si>
  <si>
    <t>怪杰的回合开始时，恢复等同于怪杰教育数值的HP，最多24点。</t>
  </si>
  <si>
    <t>攻击范围内的其他友方单位失去hp时，使其获得1sp。</t>
  </si>
  <si>
    <r>
      <rPr>
        <sz val="14"/>
        <color rgb="FFC00000"/>
        <rFont val="微软雅黑"/>
        <charset val="134"/>
      </rPr>
      <t>使目标失去当前生命值的50%</t>
    </r>
    <r>
      <rPr>
        <sz val="14"/>
        <color rgb="FF0070C0"/>
        <rFont val="微软雅黑"/>
        <charset val="134"/>
      </rPr>
      <t>，施加【下一次攻击暴击】。</t>
    </r>
  </si>
  <si>
    <t>施加【下个自己的回合开始时，获得一个主要行动与3SP】。</t>
  </si>
  <si>
    <r>
      <rPr>
        <sz val="14"/>
        <color rgb="FF0070C0"/>
        <rFont val="微软雅黑"/>
        <charset val="134"/>
      </rPr>
      <t>对目标施加持续至战斗结束的</t>
    </r>
    <r>
      <rPr>
        <sz val="14"/>
        <color rgb="FF0070C0"/>
        <rFont val="微软雅黑"/>
        <charset val="134"/>
      </rPr>
      <t xml:space="preserve">
</t>
    </r>
    <r>
      <rPr>
        <sz val="14"/>
        <color rgb="FF0070C0"/>
        <rFont val="微软雅黑"/>
        <charset val="134"/>
      </rPr>
      <t>【自身回合开始时，获得一个快速行动】。</t>
    </r>
  </si>
  <si>
    <r>
      <rPr>
        <sz val="14"/>
        <color rgb="FF843E0B"/>
        <rFont val="微软雅黑"/>
        <charset val="134"/>
      </rPr>
      <t>对目标施加持续至战斗结束的</t>
    </r>
    <r>
      <rPr>
        <sz val="14"/>
        <color rgb="FF843E0B"/>
        <rFont val="微软雅黑"/>
        <charset val="134"/>
      </rPr>
      <t xml:space="preserve">
</t>
    </r>
    <r>
      <rPr>
        <sz val="14"/>
        <color rgb="FF843E0B"/>
        <rFont val="微软雅黑"/>
        <charset val="134"/>
      </rPr>
      <t>【攻击检定骰面降级】。</t>
    </r>
  </si>
  <si>
    <t>完美的实验品</t>
  </si>
  <si>
    <t>狂野科技</t>
  </si>
  <si>
    <t>倒头就睡</t>
  </si>
  <si>
    <t>死后后生</t>
  </si>
  <si>
    <t>耐药体质</t>
  </si>
  <si>
    <t>经验丰富</t>
  </si>
  <si>
    <t>你被施加负面状态时，可以选择失去12HP以抵消该负面状态。</t>
  </si>
  <si>
    <t>一个友方单位</t>
  </si>
  <si>
    <t>对hp低于50%的单位施加任意状态后，获得1sp。</t>
  </si>
  <si>
    <t>HP上限=生理耐受×2.5+（生理耐受/8+3）×升级次数</t>
  </si>
  <si>
    <t>使用自身的【经验智慧】与目标的【精神意志】进行对抗，成功则获取该单位的控制权直到目标的回合结束。</t>
  </si>
  <si>
    <r>
      <rPr>
        <sz val="12"/>
        <color rgb="FF843E0B"/>
        <rFont val="微软雅黑"/>
        <charset val="134"/>
      </rPr>
      <t>每轮只能释放一次，对目标施加：</t>
    </r>
    <r>
      <rPr>
        <sz val="12"/>
        <color rgb="FF843E0B"/>
        <rFont val="微软雅黑"/>
        <charset val="134"/>
      </rPr>
      <t xml:space="preserve">
</t>
    </r>
    <r>
      <rPr>
        <sz val="12"/>
        <color rgb="FF843E0B"/>
        <rFont val="微软雅黑"/>
        <charset val="134"/>
      </rPr>
      <t>【束缚】，【迟缓】，【眩晕】，</t>
    </r>
    <r>
      <rPr>
        <sz val="12"/>
        <color rgb="FF843E0B"/>
        <rFont val="微软雅黑"/>
        <charset val="134"/>
      </rPr>
      <t xml:space="preserve">
</t>
    </r>
    <r>
      <rPr>
        <sz val="12"/>
        <color rgb="FF3C5F21"/>
        <rFont val="微软雅黑"/>
        <charset val="134"/>
      </rPr>
      <t>【屏障8】</t>
    </r>
    <r>
      <rPr>
        <sz val="12"/>
        <color rgb="FF843E0B"/>
        <rFont val="微软雅黑"/>
        <charset val="134"/>
      </rPr>
      <t>，</t>
    </r>
    <r>
      <rPr>
        <sz val="12"/>
        <color rgb="FF0070C0"/>
        <rFont val="微软雅黑"/>
        <charset val="134"/>
      </rPr>
      <t>【迅捷】，【下一次攻击获得5个奖励骰】</t>
    </r>
    <r>
      <rPr>
        <sz val="12"/>
        <color rgb="FF843E0B"/>
        <rFont val="微软雅黑"/>
        <charset val="134"/>
      </rPr>
      <t>中的随机一个。</t>
    </r>
  </si>
  <si>
    <r>
      <rPr>
        <sz val="12"/>
        <color rgb="FF843E0B"/>
        <rFont val="微软雅黑"/>
        <charset val="134"/>
      </rPr>
      <t>指定单位，【引导】目标至自身下回合开始。【引导】期间目标视为始终拥有【睡眠】。</t>
    </r>
    <r>
      <rPr>
        <sz val="12"/>
        <color rgb="FF0070C0"/>
        <rFont val="微软雅黑"/>
        <charset val="134"/>
      </rPr>
      <t>【引导】完成时目标视为进行一次长休。</t>
    </r>
  </si>
  <si>
    <t>造成325点真实伤害，随后使目标的HP上限恢复至基础数值并清除目标所有状态。</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</si>
</sst>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quot;主要&quot;"/>
    <numFmt numFmtId="177" formatCode="0&quot;快速&quot;"/>
    <numFmt numFmtId="178" formatCode="0&quot;SP&quot;"/>
    <numFmt numFmtId="179" formatCode="0&quot;耐力&quot;"/>
  </numFmts>
  <fonts count="166">
    <font>
      <sz val="11"/>
      <color theme="1"/>
      <name val="宋体"/>
      <charset val="134"/>
      <scheme val="minor"/>
    </font>
    <font>
      <b/>
      <sz val="11"/>
      <color theme="1"/>
      <name val="微软雅黑"/>
      <charset val="134"/>
    </font>
    <font>
      <b/>
      <sz val="36"/>
      <color rgb="FFFFFFFF"/>
      <name val="宋体"/>
      <charset val="134"/>
      <scheme val="minor"/>
    </font>
    <font>
      <b/>
      <sz val="16"/>
      <color rgb="FFFFFFFF"/>
      <name val="宋体"/>
      <charset val="134"/>
      <scheme val="minor"/>
    </font>
    <font>
      <b/>
      <sz val="11"/>
      <color rgb="FF000000"/>
      <name val="微软雅黑"/>
      <charset val="134"/>
    </font>
    <font>
      <b/>
      <sz val="11"/>
      <color rgb="FFFFFFFF"/>
      <name val="微软雅黑"/>
      <charset val="134"/>
    </font>
    <font>
      <b/>
      <sz val="12"/>
      <color rgb="FFFFFFFF"/>
      <name val="微软雅黑"/>
      <charset val="134"/>
    </font>
    <font>
      <b/>
      <sz val="20"/>
      <color rgb="FFD9D9D9"/>
      <name val="微软雅黑"/>
      <charset val="134"/>
    </font>
    <font>
      <b/>
      <sz val="14"/>
      <color rgb="FF0070C0"/>
      <name val="微软雅黑"/>
      <charset val="134"/>
    </font>
    <font>
      <sz val="14"/>
      <color rgb="FF0070C0"/>
      <name val="微软雅黑"/>
      <charset val="134"/>
    </font>
    <font>
      <b/>
      <sz val="14"/>
      <color rgb="FFD9D9D9"/>
      <name val="微软雅黑"/>
      <charset val="134"/>
    </font>
    <font>
      <b/>
      <sz val="10"/>
      <color rgb="FFD9D9D9"/>
      <name val="微软雅黑"/>
      <charset val="134"/>
    </font>
    <font>
      <b/>
      <sz val="16"/>
      <color rgb="FF000000"/>
      <name val="微软雅黑"/>
      <charset val="134"/>
    </font>
    <font>
      <b/>
      <sz val="14"/>
      <color rgb="FF3C5F21"/>
      <name val="微软雅黑"/>
      <charset val="134"/>
    </font>
    <font>
      <sz val="14"/>
      <color rgb="FF3C5F21"/>
      <name val="微软雅黑"/>
      <charset val="134"/>
    </font>
    <font>
      <b/>
      <sz val="12"/>
      <color rgb="FFD9D9D9"/>
      <name val="微软雅黑"/>
      <charset val="134"/>
    </font>
    <font>
      <b/>
      <sz val="11"/>
      <color rgb="FFD9D9D9"/>
      <name val="微软雅黑"/>
      <charset val="134"/>
    </font>
    <font>
      <b/>
      <sz val="14"/>
      <color rgb="FFA6A6A6"/>
      <name val="微软雅黑"/>
      <charset val="134"/>
    </font>
    <font>
      <b/>
      <sz val="14"/>
      <color rgb="FF000000"/>
      <name val="微软雅黑"/>
      <charset val="134"/>
    </font>
    <font>
      <sz val="12"/>
      <color rgb="FFC00000"/>
      <name val="微软雅黑"/>
      <charset val="134"/>
    </font>
    <font>
      <sz val="14"/>
      <color rgb="FFC00000"/>
      <name val="微软雅黑"/>
      <charset val="134"/>
    </font>
    <font>
      <sz val="12"/>
      <color rgb="FF843E0B"/>
      <name val="微软雅黑"/>
      <charset val="134"/>
    </font>
    <font>
      <sz val="12"/>
      <color rgb="FF000000"/>
      <name val="微软雅黑"/>
      <charset val="134"/>
    </font>
    <font>
      <sz val="12"/>
      <color rgb="FF0070C0"/>
      <name val="微软雅黑"/>
      <charset val="134"/>
    </font>
    <font>
      <sz val="14"/>
      <color rgb="FF843E0B"/>
      <name val="微软雅黑"/>
      <charset val="134"/>
    </font>
    <font>
      <sz val="12"/>
      <color rgb="FF3C5F21"/>
      <name val="微软雅黑"/>
      <charset val="134"/>
    </font>
    <font>
      <sz val="11"/>
      <color rgb="FF0070C0"/>
      <name val="微软雅黑"/>
      <charset val="134"/>
    </font>
    <font>
      <b/>
      <sz val="36"/>
      <color theme="0"/>
      <name val="华文中宋"/>
      <charset val="134"/>
    </font>
    <font>
      <b/>
      <sz val="16"/>
      <color theme="0"/>
      <name val="Times New Roman"/>
      <charset val="134"/>
    </font>
    <font>
      <b/>
      <sz val="11"/>
      <color rgb="FF7030A0"/>
      <name val="微软雅黑"/>
      <charset val="134"/>
    </font>
    <font>
      <b/>
      <sz val="11"/>
      <color theme="0"/>
      <name val="微软雅黑"/>
      <charset val="134"/>
    </font>
    <font>
      <b/>
      <sz val="12"/>
      <color theme="0"/>
      <name val="微软雅黑"/>
      <charset val="134"/>
    </font>
    <font>
      <b/>
      <sz val="20"/>
      <color theme="0" tint="-0.15"/>
      <name val="微软雅黑"/>
      <charset val="134"/>
    </font>
    <font>
      <b/>
      <sz val="14"/>
      <color rgb="FFC00000"/>
      <name val="微软雅黑"/>
      <charset val="134"/>
    </font>
    <font>
      <b/>
      <sz val="14"/>
      <color theme="0" tint="-0.15"/>
      <name val="微软雅黑"/>
      <charset val="134"/>
    </font>
    <font>
      <b/>
      <sz val="10"/>
      <color theme="0" tint="-0.15"/>
      <name val="微软雅黑"/>
      <charset val="134"/>
    </font>
    <font>
      <b/>
      <sz val="11"/>
      <color theme="0" tint="-0.15"/>
      <name val="微软雅黑"/>
      <charset val="134"/>
    </font>
    <font>
      <b/>
      <sz val="16"/>
      <color theme="1"/>
      <name val="微软雅黑"/>
      <charset val="134"/>
    </font>
    <font>
      <b/>
      <sz val="12"/>
      <color rgb="FF0070C0"/>
      <name val="微软雅黑"/>
      <charset val="134"/>
    </font>
    <font>
      <b/>
      <sz val="12"/>
      <color theme="0" tint="-0.15"/>
      <name val="微软雅黑"/>
      <charset val="134"/>
    </font>
    <font>
      <sz val="11"/>
      <color rgb="FFC00000"/>
      <name val="微软雅黑"/>
      <charset val="134"/>
    </font>
    <font>
      <sz val="11"/>
      <color theme="5" tint="-0.5"/>
      <name val="微软雅黑"/>
      <charset val="134"/>
    </font>
    <font>
      <sz val="14"/>
      <color theme="7" tint="-0.5"/>
      <name val="微软雅黑"/>
      <charset val="134"/>
    </font>
    <font>
      <sz val="12"/>
      <color rgb="FF385723"/>
      <name val="微软雅黑"/>
      <charset val="134"/>
    </font>
    <font>
      <sz val="12"/>
      <color theme="7" tint="-0.5"/>
      <name val="微软雅黑"/>
      <charset val="134"/>
    </font>
    <font>
      <sz val="12"/>
      <color theme="5" tint="-0.5"/>
      <name val="微软雅黑"/>
      <charset val="134"/>
    </font>
    <font>
      <b/>
      <sz val="14"/>
      <color theme="7" tint="-0.5"/>
      <name val="微软雅黑"/>
      <charset val="134"/>
    </font>
    <font>
      <sz val="14"/>
      <color theme="5" tint="-0.5"/>
      <name val="微软雅黑"/>
      <charset val="134"/>
    </font>
    <font>
      <b/>
      <sz val="9"/>
      <color rgb="FF7030A0"/>
      <name val="微软雅黑"/>
      <charset val="134"/>
    </font>
    <font>
      <b/>
      <sz val="9"/>
      <color rgb="FF000000"/>
      <name val="微软雅黑"/>
      <charset val="134"/>
    </font>
    <font>
      <sz val="12"/>
      <color theme="1"/>
      <name val="微软雅黑"/>
      <charset val="134"/>
    </font>
    <font>
      <b/>
      <sz val="10"/>
      <color theme="1"/>
      <name val="微软雅黑"/>
      <charset val="134"/>
    </font>
    <font>
      <b/>
      <sz val="11"/>
      <name val="微软雅黑"/>
      <charset val="134"/>
    </font>
    <font>
      <sz val="11"/>
      <color rgb="FF000000"/>
      <name val="微软雅黑"/>
      <charset val="134"/>
    </font>
    <font>
      <sz val="11"/>
      <color theme="1"/>
      <name val="微软雅黑"/>
      <charset val="134"/>
    </font>
    <font>
      <sz val="16"/>
      <color theme="7" tint="-0.5"/>
      <name val="微软雅黑"/>
      <charset val="134"/>
    </font>
    <font>
      <sz val="10"/>
      <color theme="5" tint="-0.5"/>
      <name val="微软雅黑"/>
      <charset val="134"/>
    </font>
    <font>
      <sz val="12"/>
      <name val="微软雅黑"/>
      <charset val="134"/>
    </font>
    <font>
      <sz val="14"/>
      <name val="微软雅黑"/>
      <charset val="134"/>
    </font>
    <font>
      <sz val="11"/>
      <name val="微软雅黑"/>
      <charset val="134"/>
    </font>
    <font>
      <b/>
      <sz val="20"/>
      <color theme="0"/>
      <name val="Times New Roman"/>
      <charset val="134"/>
    </font>
    <font>
      <b/>
      <sz val="22"/>
      <color theme="0"/>
      <name val="Times New Roman"/>
      <charset val="134"/>
    </font>
    <font>
      <b/>
      <sz val="14"/>
      <color theme="5" tint="-0.5"/>
      <name val="微软雅黑"/>
      <charset val="134"/>
    </font>
    <font>
      <sz val="10"/>
      <color rgb="FFC00000"/>
      <name val="微软雅黑"/>
      <charset val="134"/>
    </font>
    <font>
      <sz val="14"/>
      <color theme="4" tint="-0.5"/>
      <name val="微软雅黑"/>
      <charset val="134"/>
    </font>
    <font>
      <sz val="11"/>
      <color theme="7" tint="-0.5"/>
      <name val="微软雅黑"/>
      <charset val="134"/>
    </font>
    <font>
      <sz val="9"/>
      <color theme="0" tint="-0.5"/>
      <name val="微软雅黑"/>
      <charset val="134"/>
    </font>
    <font>
      <sz val="9"/>
      <color theme="7" tint="-0.5"/>
      <name val="微软雅黑"/>
      <charset val="134"/>
    </font>
    <font>
      <b/>
      <sz val="14"/>
      <color rgb="FF843E0B"/>
      <name val="微软雅黑"/>
      <charset val="134"/>
    </font>
    <font>
      <b/>
      <sz val="10.5"/>
      <color rgb="FF000000"/>
      <name val="思源宋体 CN SemiBold"/>
      <charset val="134"/>
    </font>
    <font>
      <sz val="10.5"/>
      <color rgb="FF000000"/>
      <name val="思源宋体 CN SemiBold"/>
      <charset val="134"/>
    </font>
    <font>
      <sz val="10.5"/>
      <color rgb="FF000000"/>
      <name val="Times New Roman"/>
      <charset val="134"/>
    </font>
    <font>
      <sz val="10"/>
      <color rgb="FF000000"/>
      <name val="思源宋体 CN SemiBold"/>
      <charset val="134"/>
    </font>
    <font>
      <sz val="9"/>
      <color rgb="FF000000"/>
      <name val="思源宋体 CN SemiBold"/>
      <charset val="134"/>
    </font>
    <font>
      <sz val="14"/>
      <color rgb="FF843C0B"/>
      <name val="微软雅黑"/>
      <charset val="134"/>
    </font>
    <font>
      <sz val="10"/>
      <color rgb="FF843C0B"/>
      <name val="微软雅黑"/>
      <charset val="134"/>
    </font>
    <font>
      <sz val="10"/>
      <name val="微软雅黑"/>
      <charset val="134"/>
    </font>
    <font>
      <sz val="9"/>
      <color rgb="FFC00000"/>
      <name val="微软雅黑"/>
      <charset val="134"/>
    </font>
    <font>
      <b/>
      <sz val="14"/>
      <color rgb="FF385723"/>
      <name val="微软雅黑"/>
      <charset val="134"/>
    </font>
    <font>
      <sz val="14"/>
      <color rgb="FF385723"/>
      <name val="微软雅黑"/>
      <charset val="134"/>
    </font>
    <font>
      <sz val="14"/>
      <color rgb="FF000000"/>
      <name val="微软雅黑"/>
      <charset val="134"/>
    </font>
    <font>
      <sz val="13"/>
      <color rgb="FFC00000"/>
      <name val="微软雅黑"/>
      <charset val="134"/>
    </font>
    <font>
      <b/>
      <sz val="9"/>
      <color rgb="FFD9D9D9"/>
      <name val="微软雅黑"/>
      <charset val="134"/>
    </font>
    <font>
      <b/>
      <sz val="9"/>
      <color theme="0" tint="-0.15"/>
      <name val="微软雅黑"/>
      <charset val="134"/>
    </font>
    <font>
      <sz val="10"/>
      <color rgb="FF000000"/>
      <name val="微软雅黑"/>
      <charset val="134"/>
    </font>
    <font>
      <sz val="13"/>
      <color rgb="FF385723"/>
      <name val="微软雅黑"/>
      <charset val="134"/>
    </font>
    <font>
      <sz val="10"/>
      <color rgb="FF385723"/>
      <name val="微软雅黑"/>
      <charset val="134"/>
    </font>
    <font>
      <sz val="9"/>
      <color rgb="FF000000"/>
      <name val="微软雅黑"/>
      <charset val="134"/>
    </font>
    <font>
      <sz val="9"/>
      <name val="微软雅黑"/>
      <charset val="134"/>
    </font>
    <font>
      <sz val="14"/>
      <color rgb="FF7030A0"/>
      <name val="微软雅黑"/>
      <charset val="134"/>
    </font>
    <font>
      <sz val="11"/>
      <color rgb="FF843C0B"/>
      <name val="微软雅黑"/>
      <charset val="134"/>
    </font>
    <font>
      <b/>
      <sz val="14"/>
      <color rgb="FF843C0B"/>
      <name val="微软雅黑"/>
      <charset val="134"/>
    </font>
    <font>
      <sz val="10"/>
      <color rgb="FF0070C0"/>
      <name val="微软雅黑"/>
      <charset val="134"/>
    </font>
    <font>
      <b/>
      <sz val="14"/>
      <name val="微软雅黑"/>
      <charset val="134"/>
    </font>
    <font>
      <b/>
      <sz val="28"/>
      <color theme="0"/>
      <name val="Times New Roman"/>
      <charset val="134"/>
    </font>
    <font>
      <sz val="12"/>
      <color theme="1"/>
      <name val="宋体"/>
      <charset val="134"/>
      <scheme val="minor"/>
    </font>
    <font>
      <b/>
      <sz val="20"/>
      <color theme="0" tint="-0.05"/>
      <name val="微软雅黑"/>
      <charset val="134"/>
    </font>
    <font>
      <sz val="10.5"/>
      <color theme="1"/>
      <name val="宋体"/>
      <charset val="134"/>
    </font>
    <font>
      <b/>
      <sz val="16"/>
      <color theme="0"/>
      <name val="微软雅黑"/>
      <charset val="134"/>
    </font>
    <font>
      <b/>
      <sz val="12"/>
      <name val="微软雅黑"/>
      <charset val="134"/>
    </font>
    <font>
      <b/>
      <sz val="20"/>
      <color rgb="FFFFFFFF"/>
      <name val="宋体"/>
      <charset val="134"/>
      <scheme val="minor"/>
    </font>
    <font>
      <b/>
      <sz val="8"/>
      <color theme="1"/>
      <name val="微软雅黑"/>
      <charset val="134"/>
    </font>
    <font>
      <sz val="16"/>
      <color rgb="FF3C5F21"/>
      <name val="微软雅黑"/>
      <charset val="134"/>
    </font>
    <font>
      <b/>
      <sz val="10"/>
      <color rgb="FF000000"/>
      <name val="微软雅黑"/>
      <charset val="134"/>
    </font>
    <font>
      <sz val="16"/>
      <color rgb="FF7F7F7F"/>
      <name val="微软雅黑"/>
      <charset val="134"/>
    </font>
    <font>
      <b/>
      <sz val="14"/>
      <color theme="0" tint="-0.5"/>
      <name val="微软雅黑"/>
      <charset val="134"/>
    </font>
    <font>
      <sz val="14"/>
      <color theme="0" tint="-0.5"/>
      <name val="微软雅黑"/>
      <charset val="134"/>
    </font>
    <font>
      <sz val="8"/>
      <color theme="1"/>
      <name val="微软雅黑"/>
      <charset val="134"/>
    </font>
    <font>
      <sz val="10"/>
      <color rgb="FF7030A0"/>
      <name val="微软雅黑"/>
      <charset val="134"/>
    </font>
    <font>
      <sz val="11"/>
      <color rgb="FF843E0B"/>
      <name val="微软雅黑"/>
      <charset val="134"/>
    </font>
    <font>
      <sz val="10"/>
      <color rgb="FF3C5F21"/>
      <name val="微软雅黑"/>
      <charset val="134"/>
    </font>
    <font>
      <sz val="12"/>
      <color rgb="FF843C0B"/>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u/>
      <sz val="10"/>
      <color rgb="FFFFFFFF"/>
      <name val="微软雅黑"/>
      <charset val="134"/>
    </font>
    <font>
      <sz val="11"/>
      <color rgb="FF3C5F21"/>
      <name val="微软雅黑"/>
      <charset val="134"/>
    </font>
    <font>
      <b/>
      <u/>
      <sz val="10"/>
      <color theme="0"/>
      <name val="微软雅黑"/>
      <charset val="134"/>
    </font>
    <font>
      <sz val="12"/>
      <color rgb="FF7030A0"/>
      <name val="微软雅黑"/>
      <charset val="134"/>
    </font>
    <font>
      <sz val="14"/>
      <color rgb="FF861322"/>
      <name val="微软雅黑"/>
      <charset val="134"/>
    </font>
    <font>
      <u/>
      <sz val="10"/>
      <color rgb="FFFFFFFF"/>
      <name val="微软雅黑"/>
      <charset val="134"/>
    </font>
    <font>
      <sz val="9"/>
      <color rgb="FF0070C0"/>
      <name val="微软雅黑"/>
      <charset val="134"/>
    </font>
    <font>
      <sz val="9"/>
      <color theme="5" tint="-0.5"/>
      <name val="微软雅黑"/>
      <charset val="134"/>
    </font>
    <font>
      <sz val="10.5"/>
      <color theme="1"/>
      <name val="Calibri"/>
      <charset val="134"/>
    </font>
    <font>
      <b/>
      <u/>
      <sz val="10"/>
      <color rgb="FFD9D9D9"/>
      <name val="微软雅黑"/>
      <charset val="134"/>
    </font>
    <font>
      <b/>
      <u/>
      <sz val="10"/>
      <color rgb="FFF2F2F2"/>
      <name val="微软雅黑"/>
      <charset val="134"/>
    </font>
    <font>
      <sz val="10"/>
      <color theme="7" tint="-0.5"/>
      <name val="微软雅黑"/>
      <charset val="134"/>
    </font>
    <font>
      <b/>
      <sz val="10"/>
      <color rgb="FFFFC000"/>
      <name val="微软雅黑"/>
      <charset val="134"/>
    </font>
    <font>
      <b/>
      <u/>
      <sz val="10"/>
      <color theme="0" tint="-0.05"/>
      <name val="微软雅黑"/>
      <charset val="134"/>
    </font>
    <font>
      <b/>
      <sz val="11"/>
      <color rgb="FFC00000"/>
      <name val="微软雅黑"/>
      <charset val="134"/>
    </font>
    <font>
      <b/>
      <sz val="11"/>
      <color rgb="FF0070C0"/>
      <name val="微软雅黑"/>
      <charset val="134"/>
    </font>
    <font>
      <b/>
      <sz val="11"/>
      <color rgb="FF385723"/>
      <name val="微软雅黑"/>
      <charset val="134"/>
    </font>
    <font>
      <b/>
      <sz val="11"/>
      <color rgb="FFED79A9"/>
      <name val="微软雅黑"/>
      <charset val="134"/>
    </font>
    <font>
      <b/>
      <sz val="11"/>
      <color rgb="FF1F4E79"/>
      <name val="微软雅黑"/>
      <charset val="134"/>
    </font>
    <font>
      <b/>
      <sz val="11"/>
      <color rgb="FFFFC000"/>
      <name val="微软雅黑"/>
      <charset val="134"/>
    </font>
    <font>
      <b/>
      <sz val="11"/>
      <color rgb="FF36B3A8"/>
      <name val="微软雅黑"/>
      <charset val="134"/>
    </font>
    <font>
      <b/>
      <sz val="11"/>
      <color rgb="FF548235"/>
      <name val="微软雅黑"/>
      <charset val="134"/>
    </font>
    <font>
      <b/>
      <sz val="11"/>
      <color rgb="FF843C0B"/>
      <name val="微软雅黑"/>
      <charset val="134"/>
    </font>
    <font>
      <sz val="12"/>
      <color rgb="FF7F7F7F"/>
      <name val="微软雅黑"/>
      <charset val="134"/>
    </font>
    <font>
      <sz val="10"/>
      <color rgb="FF861322"/>
      <name val="微软雅黑"/>
      <charset val="134"/>
    </font>
    <font>
      <sz val="10"/>
      <color rgb="FF7F7F7F"/>
      <name val="微软雅黑"/>
      <charset val="134"/>
    </font>
    <font>
      <sz val="12"/>
      <color theme="6" tint="-0.5"/>
      <name val="微软雅黑"/>
      <charset val="134"/>
    </font>
    <font>
      <sz val="11"/>
      <color rgb="FF7030A0"/>
      <name val="微软雅黑"/>
      <charset val="134"/>
    </font>
    <font>
      <sz val="16"/>
      <color rgb="FF7030A0"/>
      <name val="微软雅黑"/>
      <charset val="134"/>
    </font>
    <font>
      <sz val="14"/>
      <color rgb="FF00B0F0"/>
      <name val="微软雅黑"/>
      <charset val="134"/>
    </font>
    <font>
      <sz val="9"/>
      <color rgb="FF843C0B"/>
      <name val="微软雅黑"/>
      <charset val="134"/>
    </font>
    <font>
      <sz val="12"/>
      <color rgb="FF861322"/>
      <name val="微软雅黑"/>
      <charset val="134"/>
    </font>
    <font>
      <sz val="13"/>
      <color rgb="FF7030A0"/>
      <name val="微软雅黑"/>
      <charset val="134"/>
    </font>
    <font>
      <b/>
      <sz val="16"/>
      <color theme="0" tint="-0.05"/>
      <name val="微软雅黑"/>
      <charset val="134"/>
    </font>
    <font>
      <sz val="9"/>
      <name val="宋体"/>
      <charset val="134"/>
    </font>
  </fonts>
  <fills count="52">
    <fill>
      <patternFill patternType="none"/>
    </fill>
    <fill>
      <patternFill patternType="gray125"/>
    </fill>
    <fill>
      <patternFill patternType="solid">
        <fgColor rgb="FF000000"/>
        <bgColor indexed="64"/>
      </patternFill>
    </fill>
    <fill>
      <patternFill patternType="solid">
        <fgColor rgb="FF595959"/>
        <bgColor indexed="64"/>
      </patternFill>
    </fill>
    <fill>
      <patternFill patternType="solid">
        <fgColor rgb="FF404040"/>
        <bgColor indexed="64"/>
      </patternFill>
    </fill>
    <fill>
      <patternFill patternType="solid">
        <fgColor rgb="FF808080"/>
        <bgColor indexed="64"/>
      </patternFill>
    </fill>
    <fill>
      <patternFill patternType="solid">
        <fgColor rgb="FFD9D9D9"/>
        <bgColor indexed="64"/>
      </patternFill>
    </fill>
    <fill>
      <patternFill patternType="solid">
        <fgColor rgb="FFF2F2F2"/>
        <bgColor indexed="64"/>
      </patternFill>
    </fill>
    <fill>
      <patternFill patternType="solid">
        <fgColor rgb="FFADD88D"/>
        <bgColor indexed="64"/>
      </patternFill>
    </fill>
    <fill>
      <patternFill patternType="solid">
        <fgColor rgb="FFFEDB61"/>
        <bgColor indexed="64"/>
      </patternFill>
    </fill>
    <fill>
      <patternFill patternType="solid">
        <fgColor theme="1"/>
        <bgColor indexed="64"/>
      </patternFill>
    </fill>
    <fill>
      <patternFill patternType="solid">
        <fgColor theme="1" tint="0.35"/>
        <bgColor indexed="64"/>
      </patternFill>
    </fill>
    <fill>
      <patternFill patternType="solid">
        <fgColor theme="1" tint="0.25"/>
        <bgColor indexed="64"/>
      </patternFill>
    </fill>
    <fill>
      <patternFill patternType="solid">
        <fgColor theme="1" tint="0.5"/>
        <bgColor indexed="64"/>
      </patternFill>
    </fill>
    <fill>
      <patternFill patternType="solid">
        <fgColor theme="0" tint="-0.15"/>
        <bgColor indexed="64"/>
      </patternFill>
    </fill>
    <fill>
      <gradientFill degree="90">
        <stop position="0">
          <color theme="1" tint="0.35"/>
        </stop>
        <stop position="1">
          <color theme="0" tint="-0.15"/>
        </stop>
      </gradientFill>
    </fill>
    <fill>
      <gradientFill degree="90">
        <stop position="0">
          <color theme="0" tint="-0.15"/>
        </stop>
        <stop position="1">
          <color theme="1" tint="0.35"/>
        </stop>
      </gradientFill>
    </fill>
    <fill>
      <patternFill patternType="solid">
        <fgColor theme="0" tint="-0.05"/>
        <bgColor indexed="64"/>
      </patternFill>
    </fill>
    <fill>
      <patternFill patternType="solid">
        <fgColor theme="6" tint="0.4"/>
        <bgColor indexed="64"/>
      </patternFill>
    </fill>
    <fill>
      <patternFill patternType="solid">
        <fgColor theme="7" tint="0.4"/>
        <bgColor indexed="64"/>
      </patternFill>
    </fill>
    <fill>
      <patternFill patternType="solid">
        <fgColor theme="0" tint="-0.5"/>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5">
    <border>
      <left/>
      <right/>
      <top/>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right/>
      <top/>
      <bottom style="thick">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ck">
        <color rgb="FF000000"/>
      </top>
      <bottom style="thin">
        <color rgb="FF000000"/>
      </bottom>
      <diagonal/>
    </border>
    <border>
      <left style="thin">
        <color rgb="FF000000"/>
      </left>
      <right style="thick">
        <color rgb="FF000000"/>
      </right>
      <top style="thin">
        <color rgb="FF000000"/>
      </top>
      <bottom style="thin">
        <color rgb="FF00000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top style="thin">
        <color auto="1"/>
      </top>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style="thin">
        <color auto="1"/>
      </left>
      <right/>
      <top/>
      <bottom style="thin">
        <color auto="1"/>
      </bottom>
      <diagonal/>
    </border>
    <border>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rgb="FF000000"/>
      </left>
      <right style="thick">
        <color rgb="FF000000"/>
      </right>
      <top style="thin">
        <color rgb="FF000000"/>
      </top>
      <bottom style="thick">
        <color rgb="FF000000"/>
      </bottom>
      <diagonal/>
    </border>
    <border>
      <left style="thick">
        <color auto="1"/>
      </left>
      <right/>
      <top style="thick">
        <color auto="1"/>
      </top>
      <bottom/>
      <diagonal/>
    </border>
    <border>
      <left style="thick">
        <color auto="1"/>
      </left>
      <right/>
      <top style="thick">
        <color rgb="FF000000"/>
      </top>
      <bottom/>
      <diagonal/>
    </border>
    <border>
      <left style="thick">
        <color auto="1"/>
      </left>
      <right/>
      <top/>
      <bottom/>
      <diagonal/>
    </border>
    <border>
      <left style="thick">
        <color auto="1"/>
      </left>
      <right/>
      <top/>
      <bottom style="medium">
        <color rgb="FF000000"/>
      </bottom>
      <diagonal/>
    </border>
    <border>
      <left style="thick">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ck">
        <color auto="1"/>
      </left>
      <right/>
      <top style="medium">
        <color rgb="FF000000"/>
      </top>
      <bottom/>
      <diagonal/>
    </border>
    <border>
      <left style="thick">
        <color auto="1"/>
      </left>
      <right/>
      <top/>
      <bottom style="thick">
        <color auto="1"/>
      </bottom>
      <diagonal/>
    </border>
    <border>
      <left/>
      <right/>
      <top style="thick">
        <color auto="1"/>
      </top>
      <bottom/>
      <diagonal/>
    </border>
    <border>
      <left/>
      <right style="thick">
        <color auto="1"/>
      </right>
      <top style="thick">
        <color auto="1"/>
      </top>
      <bottom/>
      <diagonal/>
    </border>
    <border>
      <left style="thin">
        <color rgb="FF000000"/>
      </left>
      <right style="thick">
        <color rgb="FF000000"/>
      </right>
      <top style="thin">
        <color rgb="FF000000"/>
      </top>
      <bottom/>
      <diagonal/>
    </border>
    <border>
      <left style="thick">
        <color rgb="FF000000"/>
      </left>
      <right style="thin">
        <color rgb="FF000000"/>
      </right>
      <top style="thick">
        <color auto="1"/>
      </top>
      <bottom style="thin">
        <color rgb="FF000000"/>
      </bottom>
      <diagonal/>
    </border>
    <border>
      <left style="thin">
        <color rgb="FF000000"/>
      </left>
      <right style="thin">
        <color rgb="FF000000"/>
      </right>
      <top style="thick">
        <color auto="1"/>
      </top>
      <bottom style="thin">
        <color rgb="FF000000"/>
      </bottom>
      <diagonal/>
    </border>
    <border>
      <left style="thick">
        <color rgb="FF000000"/>
      </left>
      <right style="thin">
        <color rgb="FF000000"/>
      </right>
      <top style="thin">
        <color rgb="FF000000"/>
      </top>
      <bottom style="thick">
        <color auto="1"/>
      </bottom>
      <diagonal/>
    </border>
    <border>
      <left style="thin">
        <color rgb="FF000000"/>
      </left>
      <right style="thin">
        <color rgb="FF000000"/>
      </right>
      <top style="thin">
        <color rgb="FF000000"/>
      </top>
      <bottom style="thick">
        <color auto="1"/>
      </bottom>
      <diagonal/>
    </border>
    <border>
      <left style="thin">
        <color rgb="FF000000"/>
      </left>
      <right style="thick">
        <color auto="1"/>
      </right>
      <top style="thick">
        <color auto="1"/>
      </top>
      <bottom style="thin">
        <color rgb="FF000000"/>
      </bottom>
      <diagonal/>
    </border>
    <border>
      <left style="thin">
        <color rgb="FF000000"/>
      </left>
      <right style="thick">
        <color auto="1"/>
      </right>
      <top style="thin">
        <color rgb="FF000000"/>
      </top>
      <bottom style="thin">
        <color rgb="FF000000"/>
      </bottom>
      <diagonal/>
    </border>
    <border>
      <left style="thin">
        <color rgb="FF000000"/>
      </left>
      <right style="thick">
        <color auto="1"/>
      </right>
      <top style="thin">
        <color rgb="FF000000"/>
      </top>
      <bottom/>
      <diagonal/>
    </border>
    <border>
      <left style="thin">
        <color rgb="FF000000"/>
      </left>
      <right style="thick">
        <color auto="1"/>
      </right>
      <top style="thick">
        <color rgb="FF000000"/>
      </top>
      <bottom style="thin">
        <color rgb="FF000000"/>
      </bottom>
      <diagonal/>
    </border>
    <border>
      <left style="thin">
        <color rgb="FF000000"/>
      </left>
      <right style="thick">
        <color auto="1"/>
      </right>
      <top style="thin">
        <color rgb="FF000000"/>
      </top>
      <bottom style="thick">
        <color auto="1"/>
      </bottom>
      <diagonal/>
    </border>
    <border>
      <left style="thick">
        <color rgb="FF000000"/>
      </left>
      <right style="thick">
        <color rgb="FF000000"/>
      </right>
      <top style="thick">
        <color rgb="FF000000"/>
      </top>
      <bottom style="thick">
        <color rgb="FF000000"/>
      </bottom>
      <diagonal/>
    </border>
    <border>
      <left style="thick">
        <color rgb="FF000000"/>
      </left>
      <right style="dashed">
        <color rgb="FF000000"/>
      </right>
      <top style="thick">
        <color rgb="FF000000"/>
      </top>
      <bottom style="dashed">
        <color rgb="FF000000"/>
      </bottom>
      <diagonal/>
    </border>
    <border>
      <left style="dashed">
        <color rgb="FF000000"/>
      </left>
      <right style="dashed">
        <color rgb="FF000000"/>
      </right>
      <top style="thick">
        <color rgb="FF000000"/>
      </top>
      <bottom style="dashed">
        <color rgb="FF000000"/>
      </bottom>
      <diagonal/>
    </border>
    <border>
      <left style="thick">
        <color rgb="FF000000"/>
      </left>
      <right style="dashed">
        <color rgb="FF000000"/>
      </right>
      <top style="dashed">
        <color rgb="FF000000"/>
      </top>
      <bottom style="dashed">
        <color rgb="FF000000"/>
      </bottom>
      <diagonal/>
    </border>
    <border>
      <left style="dashed">
        <color rgb="FF000000"/>
      </left>
      <right style="dashed">
        <color rgb="FF000000"/>
      </right>
      <top style="dashed">
        <color rgb="FF000000"/>
      </top>
      <bottom style="dashed">
        <color rgb="FF000000"/>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right/>
      <top style="thick">
        <color rgb="FF000000"/>
      </top>
      <bottom/>
      <diagonal/>
    </border>
    <border>
      <left style="thick">
        <color rgb="FF000000"/>
      </left>
      <right style="thick">
        <color rgb="FF000000"/>
      </right>
      <top/>
      <bottom style="thick">
        <color rgb="FF000000"/>
      </bottom>
      <diagonal/>
    </border>
    <border>
      <left style="thick">
        <color rgb="FF000000"/>
      </left>
      <right/>
      <top/>
      <bottom style="thick">
        <color rgb="FF000000"/>
      </bottom>
      <diagonal/>
    </border>
    <border>
      <left style="dashed">
        <color rgb="FF000000"/>
      </left>
      <right style="thick">
        <color rgb="FF000000"/>
      </right>
      <top style="thick">
        <color rgb="FF000000"/>
      </top>
      <bottom style="dashed">
        <color rgb="FF000000"/>
      </bottom>
      <diagonal/>
    </border>
    <border>
      <left style="dashed">
        <color rgb="FF000000"/>
      </left>
      <right style="thick">
        <color rgb="FF000000"/>
      </right>
      <top style="dashed">
        <color rgb="FF000000"/>
      </top>
      <bottom style="dashed">
        <color rgb="FF000000"/>
      </bottom>
      <diagonal/>
    </border>
    <border>
      <left/>
      <right style="thick">
        <color rgb="FF000000"/>
      </right>
      <top style="thick">
        <color rgb="FF000000"/>
      </top>
      <bottom/>
      <diagonal/>
    </border>
    <border>
      <left/>
      <right style="thick">
        <color rgb="FF000000"/>
      </right>
      <top/>
      <bottom style="thick">
        <color rgb="FF000000"/>
      </bottom>
      <diagonal/>
    </border>
    <border>
      <left style="thick">
        <color rgb="FF000000"/>
      </left>
      <right/>
      <top/>
      <bottom/>
      <diagonal/>
    </border>
    <border>
      <left style="thick">
        <color auto="1"/>
      </left>
      <right/>
      <top/>
      <bottom style="thick">
        <color rgb="FF000000"/>
      </bottom>
      <diagonal/>
    </border>
    <border>
      <left/>
      <right style="thick">
        <color rgb="FF000000"/>
      </right>
      <top style="thick">
        <color auto="1"/>
      </top>
      <bottom/>
      <diagonal/>
    </border>
    <border>
      <left style="thick">
        <color auto="1"/>
      </left>
      <right style="dashed">
        <color auto="1"/>
      </right>
      <top style="thick">
        <color auto="1"/>
      </top>
      <bottom style="medium">
        <color auto="1"/>
      </bottom>
      <diagonal/>
    </border>
    <border>
      <left style="dashed">
        <color auto="1"/>
      </left>
      <right style="dashed">
        <color auto="1"/>
      </right>
      <top style="thick">
        <color auto="1"/>
      </top>
      <bottom style="medium">
        <color auto="1"/>
      </bottom>
      <diagonal/>
    </border>
    <border>
      <left style="thick">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style="thick">
        <color auto="1"/>
      </left>
      <right/>
      <top style="medium">
        <color auto="1"/>
      </top>
      <bottom style="thick">
        <color auto="1"/>
      </bottom>
      <diagonal/>
    </border>
    <border>
      <left style="thick">
        <color auto="1"/>
      </left>
      <right style="dashed">
        <color auto="1"/>
      </right>
      <top style="medium">
        <color auto="1"/>
      </top>
      <bottom style="thick">
        <color auto="1"/>
      </bottom>
      <diagonal/>
    </border>
    <border>
      <left style="dashed">
        <color auto="1"/>
      </left>
      <right style="dashed">
        <color auto="1"/>
      </right>
      <top style="medium">
        <color auto="1"/>
      </top>
      <bottom style="thick">
        <color auto="1"/>
      </bottom>
      <diagonal/>
    </border>
    <border>
      <left style="dashed">
        <color auto="1"/>
      </left>
      <right style="thick">
        <color auto="1"/>
      </right>
      <top style="thick">
        <color auto="1"/>
      </top>
      <bottom style="medium">
        <color auto="1"/>
      </bottom>
      <diagonal/>
    </border>
    <border>
      <left style="dashed">
        <color auto="1"/>
      </left>
      <right style="thick">
        <color auto="1"/>
      </right>
      <top style="medium">
        <color auto="1"/>
      </top>
      <bottom style="medium">
        <color auto="1"/>
      </bottom>
      <diagonal/>
    </border>
    <border>
      <left style="dashed">
        <color auto="1"/>
      </left>
      <right style="thick">
        <color auto="1"/>
      </right>
      <top style="medium">
        <color auto="1"/>
      </top>
      <bottom style="thick">
        <color auto="1"/>
      </bottom>
      <diagonal/>
    </border>
    <border>
      <left style="thick">
        <color rgb="FF000000"/>
      </left>
      <right/>
      <top style="thick">
        <color rgb="FF000000"/>
      </top>
      <bottom style="medium">
        <color rgb="FF000000"/>
      </bottom>
      <diagonal/>
    </border>
    <border>
      <left style="thick">
        <color rgb="FF000000"/>
      </left>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2"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0" fillId="22" borderId="77" applyNumberFormat="0" applyFont="0" applyAlignment="0" applyProtection="0">
      <alignment vertical="center"/>
    </xf>
    <xf numFmtId="0" fontId="114"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7" fillId="0" borderId="78" applyNumberFormat="0" applyFill="0" applyAlignment="0" applyProtection="0">
      <alignment vertical="center"/>
    </xf>
    <xf numFmtId="0" fontId="118" fillId="0" borderId="78" applyNumberFormat="0" applyFill="0" applyAlignment="0" applyProtection="0">
      <alignment vertical="center"/>
    </xf>
    <xf numFmtId="0" fontId="119" fillId="0" borderId="79" applyNumberFormat="0" applyFill="0" applyAlignment="0" applyProtection="0">
      <alignment vertical="center"/>
    </xf>
    <xf numFmtId="0" fontId="119" fillId="0" borderId="0" applyNumberFormat="0" applyFill="0" applyBorder="0" applyAlignment="0" applyProtection="0">
      <alignment vertical="center"/>
    </xf>
    <xf numFmtId="0" fontId="120" fillId="23" borderId="80" applyNumberFormat="0" applyAlignment="0" applyProtection="0">
      <alignment vertical="center"/>
    </xf>
    <xf numFmtId="0" fontId="121" fillId="7" borderId="81" applyNumberFormat="0" applyAlignment="0" applyProtection="0">
      <alignment vertical="center"/>
    </xf>
    <xf numFmtId="0" fontId="122" fillId="7" borderId="80" applyNumberFormat="0" applyAlignment="0" applyProtection="0">
      <alignment vertical="center"/>
    </xf>
    <xf numFmtId="0" fontId="123" fillId="24" borderId="82" applyNumberFormat="0" applyAlignment="0" applyProtection="0">
      <alignment vertical="center"/>
    </xf>
    <xf numFmtId="0" fontId="124" fillId="0" borderId="83" applyNumberFormat="0" applyFill="0" applyAlignment="0" applyProtection="0">
      <alignment vertical="center"/>
    </xf>
    <xf numFmtId="0" fontId="125" fillId="0" borderId="84" applyNumberFormat="0" applyFill="0" applyAlignment="0" applyProtection="0">
      <alignment vertical="center"/>
    </xf>
    <xf numFmtId="0" fontId="126" fillId="25" borderId="0" applyNumberFormat="0" applyBorder="0" applyAlignment="0" applyProtection="0">
      <alignment vertical="center"/>
    </xf>
    <xf numFmtId="0" fontId="127" fillId="26" borderId="0" applyNumberFormat="0" applyBorder="0" applyAlignment="0" applyProtection="0">
      <alignment vertical="center"/>
    </xf>
    <xf numFmtId="0" fontId="128" fillId="27" borderId="0" applyNumberFormat="0" applyBorder="0" applyAlignment="0" applyProtection="0">
      <alignment vertical="center"/>
    </xf>
    <xf numFmtId="0" fontId="129" fillId="28" borderId="0" applyNumberFormat="0" applyBorder="0" applyAlignment="0" applyProtection="0">
      <alignment vertical="center"/>
    </xf>
    <xf numFmtId="0" fontId="130" fillId="29" borderId="0" applyNumberFormat="0" applyBorder="0" applyAlignment="0" applyProtection="0">
      <alignment vertical="center"/>
    </xf>
    <xf numFmtId="0" fontId="130" fillId="30" borderId="0" applyNumberFormat="0" applyBorder="0" applyAlignment="0" applyProtection="0">
      <alignment vertical="center"/>
    </xf>
    <xf numFmtId="0" fontId="129" fillId="31" borderId="0" applyNumberFormat="0" applyBorder="0" applyAlignment="0" applyProtection="0">
      <alignment vertical="center"/>
    </xf>
    <xf numFmtId="0" fontId="129" fillId="32" borderId="0" applyNumberFormat="0" applyBorder="0" applyAlignment="0" applyProtection="0">
      <alignment vertical="center"/>
    </xf>
    <xf numFmtId="0" fontId="130" fillId="33" borderId="0" applyNumberFormat="0" applyBorder="0" applyAlignment="0" applyProtection="0">
      <alignment vertical="center"/>
    </xf>
    <xf numFmtId="0" fontId="130" fillId="34" borderId="0" applyNumberFormat="0" applyBorder="0" applyAlignment="0" applyProtection="0">
      <alignment vertical="center"/>
    </xf>
    <xf numFmtId="0" fontId="129" fillId="35" borderId="0" applyNumberFormat="0" applyBorder="0" applyAlignment="0" applyProtection="0">
      <alignment vertical="center"/>
    </xf>
    <xf numFmtId="0" fontId="129" fillId="36" borderId="0" applyNumberFormat="0" applyBorder="0" applyAlignment="0" applyProtection="0">
      <alignment vertical="center"/>
    </xf>
    <xf numFmtId="0" fontId="130" fillId="37" borderId="0" applyNumberFormat="0" applyBorder="0" applyAlignment="0" applyProtection="0">
      <alignment vertical="center"/>
    </xf>
    <xf numFmtId="0" fontId="130" fillId="38" borderId="0" applyNumberFormat="0" applyBorder="0" applyAlignment="0" applyProtection="0">
      <alignment vertical="center"/>
    </xf>
    <xf numFmtId="0" fontId="129" fillId="39" borderId="0" applyNumberFormat="0" applyBorder="0" applyAlignment="0" applyProtection="0">
      <alignment vertical="center"/>
    </xf>
    <xf numFmtId="0" fontId="129" fillId="40" borderId="0" applyNumberFormat="0" applyBorder="0" applyAlignment="0" applyProtection="0">
      <alignment vertical="center"/>
    </xf>
    <xf numFmtId="0" fontId="130" fillId="41" borderId="0" applyNumberFormat="0" applyBorder="0" applyAlignment="0" applyProtection="0">
      <alignment vertical="center"/>
    </xf>
    <xf numFmtId="0" fontId="130" fillId="42" borderId="0" applyNumberFormat="0" applyBorder="0" applyAlignment="0" applyProtection="0">
      <alignment vertical="center"/>
    </xf>
    <xf numFmtId="0" fontId="129" fillId="43" borderId="0" applyNumberFormat="0" applyBorder="0" applyAlignment="0" applyProtection="0">
      <alignment vertical="center"/>
    </xf>
    <xf numFmtId="0" fontId="129" fillId="44" borderId="0" applyNumberFormat="0" applyBorder="0" applyAlignment="0" applyProtection="0">
      <alignment vertical="center"/>
    </xf>
    <xf numFmtId="0" fontId="130" fillId="45" borderId="0" applyNumberFormat="0" applyBorder="0" applyAlignment="0" applyProtection="0">
      <alignment vertical="center"/>
    </xf>
    <xf numFmtId="0" fontId="130" fillId="46" borderId="0" applyNumberFormat="0" applyBorder="0" applyAlignment="0" applyProtection="0">
      <alignment vertical="center"/>
    </xf>
    <xf numFmtId="0" fontId="129" fillId="47" borderId="0" applyNumberFormat="0" applyBorder="0" applyAlignment="0" applyProtection="0">
      <alignment vertical="center"/>
    </xf>
    <xf numFmtId="0" fontId="129" fillId="48" borderId="0" applyNumberFormat="0" applyBorder="0" applyAlignment="0" applyProtection="0">
      <alignment vertical="center"/>
    </xf>
    <xf numFmtId="0" fontId="130" fillId="49" borderId="0" applyNumberFormat="0" applyBorder="0" applyAlignment="0" applyProtection="0">
      <alignment vertical="center"/>
    </xf>
    <xf numFmtId="0" fontId="130" fillId="50" borderId="0" applyNumberFormat="0" applyBorder="0" applyAlignment="0" applyProtection="0">
      <alignment vertical="center"/>
    </xf>
    <xf numFmtId="0" fontId="129" fillId="51" borderId="0" applyNumberFormat="0" applyBorder="0" applyAlignment="0" applyProtection="0">
      <alignment vertical="center"/>
    </xf>
  </cellStyleXfs>
  <cellXfs count="510">
    <xf numFmtId="0" fontId="0" fillId="0" borderId="0" xfId="0">
      <alignment vertical="center"/>
    </xf>
    <xf numFmtId="0" fontId="1" fillId="0" borderId="0" xfId="0" applyFont="1">
      <alignment vertical="center"/>
    </xf>
    <xf numFmtId="0" fontId="0" fillId="2" borderId="0" xfId="0" applyFill="1">
      <alignment vertical="center"/>
    </xf>
    <xf numFmtId="0" fontId="2" fillId="2" borderId="0" xfId="0" applyFont="1" applyFill="1" applyAlignment="1" applyProtection="1">
      <alignment horizontal="right"/>
      <protection locked="0"/>
    </xf>
    <xf numFmtId="0" fontId="3" fillId="2" borderId="0" xfId="0" applyFont="1" applyFill="1" applyAlignment="1" applyProtection="1">
      <alignment horizontal="left" wrapText="1"/>
      <protection locked="0"/>
    </xf>
    <xf numFmtId="0" fontId="4" fillId="0" borderId="0" xfId="0" applyFont="1" applyAlignment="1">
      <alignment horizontal="center" vertical="center" wrapText="1"/>
    </xf>
    <xf numFmtId="0" fontId="4" fillId="0" borderId="0" xfId="0" applyFont="1">
      <alignment vertical="center"/>
    </xf>
    <xf numFmtId="0" fontId="4" fillId="3" borderId="0" xfId="0" applyFont="1" applyFill="1">
      <alignment vertical="center"/>
    </xf>
    <xf numFmtId="0" fontId="5" fillId="3" borderId="0" xfId="0" applyFont="1" applyFill="1" applyAlignment="1">
      <alignment horizontal="center" vertical="center" wrapText="1"/>
    </xf>
    <xf numFmtId="0" fontId="5" fillId="4"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0" fillId="3" borderId="0" xfId="0" applyFill="1" applyProtection="1">
      <alignment vertical="center"/>
      <protection locked="0"/>
    </xf>
    <xf numFmtId="0" fontId="7" fillId="3" borderId="0" xfId="0" applyFont="1" applyFill="1" applyAlignment="1" applyProtection="1">
      <alignment horizontal="center" vertical="center" wrapText="1"/>
      <protection locked="0"/>
    </xf>
    <xf numFmtId="0" fontId="5" fillId="5" borderId="3" xfId="0" applyFont="1" applyFill="1" applyBorder="1" applyAlignment="1">
      <alignment horizontal="center" vertical="center" wrapText="1"/>
    </xf>
    <xf numFmtId="176" fontId="8" fillId="6" borderId="3" xfId="0" applyNumberFormat="1" applyFont="1" applyFill="1" applyBorder="1" applyAlignment="1" applyProtection="1">
      <alignment horizontal="center" vertical="center" wrapText="1"/>
      <protection locked="0"/>
    </xf>
    <xf numFmtId="0" fontId="9" fillId="6" borderId="3" xfId="0" applyFont="1" applyFill="1" applyBorder="1" applyAlignment="1" applyProtection="1">
      <alignment horizontal="left" vertical="center" wrapText="1" indent="1"/>
      <protection locked="0"/>
    </xf>
    <xf numFmtId="0" fontId="10" fillId="3" borderId="0" xfId="0" applyFont="1" applyFill="1" applyAlignment="1">
      <alignment horizontal="center" vertical="center" wrapText="1"/>
    </xf>
    <xf numFmtId="0" fontId="11" fillId="3" borderId="0" xfId="0" applyFont="1" applyFill="1" applyAlignment="1" applyProtection="1">
      <alignment horizontal="left" vertical="center" wrapText="1"/>
      <protection locked="0"/>
    </xf>
    <xf numFmtId="0" fontId="5" fillId="4" borderId="4"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12" fillId="6" borderId="0" xfId="0" applyFont="1" applyFill="1" applyAlignment="1">
      <alignment horizontal="center" vertical="center" wrapText="1"/>
    </xf>
    <xf numFmtId="0" fontId="0" fillId="6" borderId="0" xfId="0" applyFill="1" applyProtection="1">
      <alignment vertical="center"/>
      <protection locked="0"/>
    </xf>
    <xf numFmtId="176" fontId="13" fillId="6" borderId="3" xfId="0" applyNumberFormat="1" applyFont="1" applyFill="1" applyBorder="1" applyAlignment="1" applyProtection="1">
      <alignment horizontal="center" vertical="center" wrapText="1"/>
      <protection locked="0"/>
    </xf>
    <xf numFmtId="0" fontId="14" fillId="6" borderId="3" xfId="0" applyFont="1" applyFill="1" applyBorder="1" applyAlignment="1" applyProtection="1">
      <alignment horizontal="left" vertical="center" wrapText="1" indent="1"/>
      <protection locked="0"/>
    </xf>
    <xf numFmtId="0" fontId="4" fillId="6" borderId="0" xfId="0" applyFont="1" applyFill="1">
      <alignment vertical="center"/>
    </xf>
    <xf numFmtId="0" fontId="15" fillId="3" borderId="0" xfId="0" applyFont="1" applyFill="1" applyAlignment="1">
      <alignment horizontal="center" vertical="center" wrapText="1"/>
    </xf>
    <xf numFmtId="0" fontId="15" fillId="3" borderId="0" xfId="0" applyFont="1" applyFill="1" applyAlignment="1" applyProtection="1">
      <alignment horizontal="center" vertical="center"/>
      <protection locked="0"/>
    </xf>
    <xf numFmtId="0" fontId="15" fillId="3" borderId="5" xfId="0" applyFont="1" applyFill="1" applyBorder="1" applyAlignment="1">
      <alignment horizontal="center" vertical="center" wrapText="1"/>
    </xf>
    <xf numFmtId="0" fontId="16" fillId="3" borderId="5" xfId="0" applyFont="1" applyFill="1" applyBorder="1" applyAlignment="1" applyProtection="1">
      <alignment horizontal="center" vertical="center" wrapText="1"/>
      <protection locked="0"/>
    </xf>
    <xf numFmtId="176" fontId="17" fillId="7" borderId="3" xfId="0" applyNumberFormat="1" applyFont="1" applyFill="1" applyBorder="1" applyAlignment="1" applyProtection="1">
      <alignment horizontal="center" vertical="center" shrinkToFit="1"/>
      <protection locked="0"/>
    </xf>
    <xf numFmtId="177" fontId="17" fillId="7" borderId="3" xfId="0" applyNumberFormat="1" applyFont="1" applyFill="1" applyBorder="1" applyAlignment="1" applyProtection="1">
      <alignment horizontal="center" vertical="center" shrinkToFit="1"/>
      <protection locked="0"/>
    </xf>
    <xf numFmtId="0" fontId="4" fillId="7" borderId="3" xfId="0" applyFont="1" applyFill="1" applyBorder="1" applyAlignment="1" applyProtection="1">
      <alignment horizontal="center" vertical="center" wrapText="1"/>
      <protection locked="0"/>
    </xf>
    <xf numFmtId="178" fontId="18" fillId="7" borderId="3" xfId="0" applyNumberFormat="1" applyFont="1" applyFill="1" applyBorder="1" applyAlignment="1" applyProtection="1">
      <alignment horizontal="center" vertical="center" shrinkToFit="1"/>
      <protection locked="0"/>
    </xf>
    <xf numFmtId="179" fontId="17" fillId="7" borderId="3" xfId="0" applyNumberFormat="1" applyFont="1" applyFill="1" applyBorder="1" applyAlignment="1" applyProtection="1">
      <alignment horizontal="center" vertical="center" shrinkToFit="1"/>
      <protection locked="0"/>
    </xf>
    <xf numFmtId="0" fontId="19" fillId="7" borderId="3" xfId="0" applyFont="1" applyFill="1" applyBorder="1" applyAlignment="1" applyProtection="1">
      <alignment horizontal="left" vertical="center" wrapText="1"/>
      <protection locked="0"/>
    </xf>
    <xf numFmtId="177" fontId="18" fillId="8" borderId="3" xfId="0" applyNumberFormat="1" applyFont="1" applyFill="1" applyBorder="1" applyAlignment="1" applyProtection="1">
      <alignment horizontal="center" vertical="center" shrinkToFit="1"/>
      <protection locked="0"/>
    </xf>
    <xf numFmtId="179" fontId="18" fillId="7" borderId="3" xfId="0" applyNumberFormat="1" applyFont="1" applyFill="1" applyBorder="1" applyAlignment="1" applyProtection="1">
      <alignment horizontal="center" vertical="center" shrinkToFit="1"/>
      <protection locked="0"/>
    </xf>
    <xf numFmtId="0" fontId="9" fillId="7" borderId="3" xfId="0" applyFont="1" applyFill="1" applyBorder="1" applyAlignment="1" applyProtection="1">
      <alignment horizontal="left" vertical="center" wrapText="1"/>
      <protection locked="0"/>
    </xf>
    <xf numFmtId="0" fontId="20" fillId="7" borderId="3" xfId="0" applyFont="1" applyFill="1" applyBorder="1" applyAlignment="1" applyProtection="1">
      <alignment horizontal="left" vertical="center" wrapText="1"/>
      <protection locked="0"/>
    </xf>
    <xf numFmtId="176" fontId="18" fillId="9" borderId="3" xfId="0" applyNumberFormat="1" applyFont="1" applyFill="1" applyBorder="1" applyAlignment="1" applyProtection="1">
      <alignment horizontal="center" vertical="center" shrinkToFit="1"/>
      <protection locked="0"/>
    </xf>
    <xf numFmtId="0" fontId="21" fillId="7" borderId="3" xfId="0" applyFont="1" applyFill="1" applyBorder="1" applyAlignment="1" applyProtection="1">
      <alignment horizontal="left" vertical="center" wrapText="1"/>
      <protection locked="0"/>
    </xf>
    <xf numFmtId="0" fontId="22" fillId="7" borderId="3" xfId="0" applyFont="1" applyFill="1" applyBorder="1" applyAlignment="1" applyProtection="1">
      <alignment horizontal="left" vertical="center" wrapText="1"/>
      <protection locked="0"/>
    </xf>
    <xf numFmtId="0" fontId="23" fillId="7" borderId="3" xfId="0" applyFont="1" applyFill="1" applyBorder="1" applyAlignment="1" applyProtection="1">
      <alignment horizontal="left" vertical="center" wrapText="1"/>
      <protection locked="0"/>
    </xf>
    <xf numFmtId="178" fontId="17" fillId="7" borderId="3" xfId="0" applyNumberFormat="1" applyFont="1" applyFill="1" applyBorder="1" applyAlignment="1" applyProtection="1">
      <alignment horizontal="center" vertical="center" shrinkToFit="1"/>
      <protection locked="0"/>
    </xf>
    <xf numFmtId="0" fontId="14" fillId="7" borderId="3" xfId="0" applyFont="1" applyFill="1" applyBorder="1" applyAlignment="1" applyProtection="1">
      <alignment horizontal="left" vertical="center" wrapText="1"/>
      <protection locked="0"/>
    </xf>
    <xf numFmtId="0" fontId="24" fillId="7" borderId="3" xfId="0" applyFont="1" applyFill="1" applyBorder="1" applyAlignment="1" applyProtection="1">
      <alignment horizontal="left" vertical="center" wrapText="1"/>
      <protection locked="0"/>
    </xf>
    <xf numFmtId="0" fontId="25" fillId="7" borderId="3" xfId="0" applyFont="1" applyFill="1" applyBorder="1" applyAlignment="1" applyProtection="1">
      <alignment horizontal="left" vertical="center" wrapText="1"/>
      <protection locked="0"/>
    </xf>
    <xf numFmtId="176" fontId="8" fillId="7" borderId="3" xfId="0" applyNumberFormat="1" applyFont="1" applyFill="1" applyBorder="1" applyAlignment="1" applyProtection="1">
      <alignment horizontal="center" vertical="center" wrapText="1"/>
      <protection locked="0"/>
    </xf>
    <xf numFmtId="0" fontId="26" fillId="7" borderId="3" xfId="0" applyFont="1" applyFill="1" applyBorder="1" applyAlignment="1" applyProtection="1">
      <alignment horizontal="left" vertical="center" wrapText="1" indent="1"/>
      <protection locked="0"/>
    </xf>
    <xf numFmtId="176" fontId="13" fillId="7" borderId="3" xfId="0" applyNumberFormat="1" applyFont="1" applyFill="1" applyBorder="1" applyAlignment="1" applyProtection="1">
      <alignment horizontal="center" vertical="center" wrapText="1"/>
      <protection locked="0"/>
    </xf>
    <xf numFmtId="0" fontId="14" fillId="7" borderId="3" xfId="0" applyFont="1" applyFill="1" applyBorder="1" applyAlignment="1" applyProtection="1">
      <alignment horizontal="left" vertical="center" wrapText="1" indent="1"/>
      <protection locked="0"/>
    </xf>
    <xf numFmtId="0" fontId="9" fillId="7" borderId="3" xfId="0" applyFont="1" applyFill="1" applyBorder="1" applyAlignment="1" applyProtection="1">
      <alignment horizontal="left" vertical="center" wrapText="1" indent="1"/>
      <protection locked="0"/>
    </xf>
    <xf numFmtId="0" fontId="23" fillId="7" borderId="3" xfId="0" applyFont="1" applyFill="1" applyBorder="1" applyAlignment="1" applyProtection="1">
      <alignment horizontal="left" vertical="center" wrapText="1" indent="1"/>
      <protection locked="0"/>
    </xf>
    <xf numFmtId="0" fontId="0" fillId="10" borderId="0" xfId="0" applyFill="1">
      <alignment vertical="center"/>
    </xf>
    <xf numFmtId="0" fontId="27" fillId="10" borderId="0" xfId="0" applyFont="1" applyFill="1" applyAlignment="1" applyProtection="1">
      <alignment horizontal="right"/>
      <protection locked="0"/>
    </xf>
    <xf numFmtId="0" fontId="28" fillId="10" borderId="0" xfId="0" applyFont="1" applyFill="1" applyAlignment="1" applyProtection="1">
      <alignment horizontal="left" wrapText="1"/>
      <protection locked="0"/>
    </xf>
    <xf numFmtId="0" fontId="28" fillId="10" borderId="0" xfId="0" applyFont="1" applyFill="1" applyAlignment="1" applyProtection="1">
      <alignment horizontal="left"/>
      <protection locked="0"/>
    </xf>
    <xf numFmtId="0" fontId="29" fillId="0" borderId="0" xfId="0" applyFont="1" applyAlignment="1">
      <alignment horizontal="center" vertical="center"/>
    </xf>
    <xf numFmtId="0" fontId="1" fillId="11" borderId="0" xfId="0" applyFont="1" applyFill="1">
      <alignment vertical="center"/>
    </xf>
    <xf numFmtId="0" fontId="30" fillId="11" borderId="0" xfId="0" applyFont="1" applyFill="1" applyAlignment="1">
      <alignment horizontal="center" vertical="center" wrapText="1"/>
    </xf>
    <xf numFmtId="0" fontId="30" fillId="12" borderId="1" xfId="0" applyFont="1" applyFill="1" applyBorder="1" applyAlignment="1">
      <alignment horizontal="center" vertical="center" wrapText="1"/>
    </xf>
    <xf numFmtId="0" fontId="31" fillId="11" borderId="2" xfId="0" applyFont="1" applyFill="1" applyBorder="1" applyAlignment="1">
      <alignment horizontal="center" vertical="center" wrapText="1"/>
    </xf>
    <xf numFmtId="0" fontId="1" fillId="11" borderId="0" xfId="0" applyFont="1" applyFill="1" applyAlignment="1" applyProtection="1">
      <alignment horizontal="center" vertical="center"/>
      <protection locked="0"/>
    </xf>
    <xf numFmtId="0" fontId="32" fillId="11" borderId="0" xfId="0" applyFont="1" applyFill="1" applyAlignment="1" applyProtection="1">
      <alignment horizontal="center" vertical="center" wrapText="1"/>
      <protection locked="0"/>
    </xf>
    <xf numFmtId="0" fontId="32" fillId="11" borderId="0" xfId="0" applyFont="1" applyFill="1" applyAlignment="1" applyProtection="1">
      <alignment horizontal="center" vertical="center"/>
      <protection locked="0"/>
    </xf>
    <xf numFmtId="0" fontId="30" fillId="12" borderId="4" xfId="0" applyFont="1" applyFill="1" applyBorder="1" applyAlignment="1">
      <alignment horizontal="center" vertical="center" wrapText="1"/>
    </xf>
    <xf numFmtId="0" fontId="30" fillId="13" borderId="3" xfId="0" applyFont="1" applyFill="1" applyBorder="1" applyAlignment="1">
      <alignment horizontal="center" vertical="center" wrapText="1"/>
    </xf>
    <xf numFmtId="176" fontId="33" fillId="14" borderId="3" xfId="0" applyNumberFormat="1" applyFont="1" applyFill="1" applyBorder="1" applyAlignment="1" applyProtection="1">
      <alignment horizontal="center" vertical="center" wrapText="1"/>
      <protection locked="0"/>
    </xf>
    <xf numFmtId="0" fontId="20" fillId="14" borderId="3" xfId="0" applyFont="1" applyFill="1" applyBorder="1" applyAlignment="1" applyProtection="1">
      <alignment horizontal="left" vertical="center" wrapText="1" indent="1"/>
      <protection locked="0"/>
    </xf>
    <xf numFmtId="0" fontId="34" fillId="11" borderId="0" xfId="0" applyFont="1" applyFill="1" applyAlignment="1">
      <alignment horizontal="center" vertical="center" wrapText="1"/>
    </xf>
    <xf numFmtId="0" fontId="11" fillId="11" borderId="0" xfId="0" applyFont="1" applyFill="1" applyAlignment="1" applyProtection="1">
      <alignment horizontal="left" vertical="center" wrapText="1"/>
      <protection locked="0"/>
    </xf>
    <xf numFmtId="0" fontId="35" fillId="11" borderId="0" xfId="0" applyFont="1" applyFill="1" applyAlignment="1" applyProtection="1">
      <alignment horizontal="left" vertical="center"/>
      <protection locked="0"/>
    </xf>
    <xf numFmtId="0" fontId="35" fillId="11" borderId="0" xfId="0" applyFont="1" applyFill="1" applyAlignment="1" applyProtection="1">
      <alignment horizontal="left" vertical="center" wrapText="1"/>
      <protection locked="0"/>
    </xf>
    <xf numFmtId="0" fontId="31" fillId="11" borderId="3" xfId="0" applyFont="1" applyFill="1" applyBorder="1" applyAlignment="1">
      <alignment horizontal="center" vertical="center" wrapText="1"/>
    </xf>
    <xf numFmtId="176" fontId="8" fillId="14" borderId="3" xfId="0" applyNumberFormat="1" applyFont="1" applyFill="1" applyBorder="1" applyAlignment="1" applyProtection="1">
      <alignment horizontal="center" vertical="center" wrapText="1"/>
      <protection locked="0"/>
    </xf>
    <xf numFmtId="0" fontId="23" fillId="14" borderId="3" xfId="0" applyFont="1" applyFill="1" applyBorder="1" applyAlignment="1" applyProtection="1">
      <alignment horizontal="left" vertical="center" wrapText="1" indent="1"/>
      <protection locked="0"/>
    </xf>
    <xf numFmtId="0" fontId="16" fillId="11" borderId="0" xfId="0" applyFont="1" applyFill="1" applyAlignment="1" applyProtection="1">
      <alignment horizontal="left" vertical="center" wrapText="1"/>
      <protection locked="0"/>
    </xf>
    <xf numFmtId="0" fontId="36" fillId="11" borderId="0" xfId="0" applyFont="1" applyFill="1" applyAlignment="1" applyProtection="1">
      <alignment horizontal="left" vertical="center"/>
      <protection locked="0"/>
    </xf>
    <xf numFmtId="0" fontId="1" fillId="15" borderId="0" xfId="0" applyFont="1" applyFill="1">
      <alignment vertical="center"/>
    </xf>
    <xf numFmtId="0" fontId="37" fillId="14" borderId="0" xfId="0" applyFont="1" applyFill="1" applyAlignment="1">
      <alignment horizontal="center" vertical="center" wrapText="1"/>
    </xf>
    <xf numFmtId="0" fontId="1" fillId="14" borderId="0" xfId="0" applyFont="1" applyFill="1" applyAlignment="1" applyProtection="1">
      <alignment horizontal="center" vertical="center"/>
      <protection locked="0"/>
    </xf>
    <xf numFmtId="176" fontId="38" fillId="14" borderId="3" xfId="0" applyNumberFormat="1" applyFont="1" applyFill="1" applyBorder="1" applyAlignment="1" applyProtection="1">
      <alignment horizontal="center" vertical="center" wrapText="1"/>
      <protection locked="0"/>
    </xf>
    <xf numFmtId="0" fontId="37" fillId="14" borderId="0" xfId="0" applyFont="1" applyFill="1" applyAlignment="1">
      <alignment horizontal="center" vertical="center"/>
    </xf>
    <xf numFmtId="0" fontId="1" fillId="16" borderId="0" xfId="0" applyFont="1" applyFill="1">
      <alignment vertical="center"/>
    </xf>
    <xf numFmtId="0" fontId="6" fillId="11" borderId="3" xfId="0" applyFont="1" applyFill="1" applyBorder="1" applyAlignment="1">
      <alignment horizontal="center" vertical="center" wrapText="1"/>
    </xf>
    <xf numFmtId="0" fontId="39" fillId="11" borderId="0" xfId="0" applyFont="1" applyFill="1" applyAlignment="1">
      <alignment horizontal="center" vertical="center" wrapText="1"/>
    </xf>
    <xf numFmtId="0" fontId="15" fillId="11" borderId="0" xfId="0" applyFont="1" applyFill="1" applyAlignment="1" applyProtection="1">
      <alignment horizontal="center" vertical="center"/>
      <protection locked="0"/>
    </xf>
    <xf numFmtId="0" fontId="39" fillId="11" borderId="0" xfId="0" applyFont="1" applyFill="1" applyAlignment="1" applyProtection="1">
      <alignment horizontal="center" vertical="center"/>
      <protection locked="0"/>
    </xf>
    <xf numFmtId="176" fontId="33" fillId="17" borderId="3" xfId="0" applyNumberFormat="1" applyFont="1" applyFill="1" applyBorder="1" applyAlignment="1" applyProtection="1">
      <alignment horizontal="center" vertical="center" wrapText="1"/>
      <protection locked="0"/>
    </xf>
    <xf numFmtId="0" fontId="20" fillId="17" borderId="3" xfId="0" applyFont="1" applyFill="1" applyBorder="1" applyAlignment="1" applyProtection="1">
      <alignment horizontal="left" vertical="center" wrapText="1" indent="1"/>
      <protection locked="0"/>
    </xf>
    <xf numFmtId="0" fontId="39" fillId="11" borderId="5" xfId="0" applyFont="1" applyFill="1" applyBorder="1" applyAlignment="1">
      <alignment horizontal="center" vertical="center" wrapText="1"/>
    </xf>
    <xf numFmtId="0" fontId="16" fillId="11" borderId="5" xfId="0" applyFont="1" applyFill="1" applyBorder="1" applyAlignment="1" applyProtection="1">
      <alignment horizontal="center" vertical="center" wrapText="1"/>
      <protection locked="0"/>
    </xf>
    <xf numFmtId="0" fontId="36" fillId="11" borderId="5" xfId="0" applyFont="1" applyFill="1" applyBorder="1" applyAlignment="1" applyProtection="1">
      <alignment horizontal="center" vertical="center"/>
      <protection locked="0"/>
    </xf>
    <xf numFmtId="0" fontId="30" fillId="12" borderId="6" xfId="0" applyFont="1" applyFill="1" applyBorder="1" applyAlignment="1">
      <alignment horizontal="center" vertical="center" wrapText="1"/>
    </xf>
    <xf numFmtId="0" fontId="30" fillId="13" borderId="7" xfId="0" applyFont="1" applyFill="1" applyBorder="1" applyAlignment="1">
      <alignment horizontal="center" vertical="center" wrapText="1"/>
    </xf>
    <xf numFmtId="0" fontId="20" fillId="17" borderId="7" xfId="0" applyFont="1" applyFill="1" applyBorder="1" applyAlignment="1" applyProtection="1">
      <alignment horizontal="left" vertical="center" wrapText="1" indent="1"/>
      <protection locked="0"/>
    </xf>
    <xf numFmtId="0" fontId="4" fillId="0" borderId="0" xfId="0" applyFont="1" applyBorder="1" applyAlignment="1">
      <alignment vertical="center" wrapText="1"/>
    </xf>
    <xf numFmtId="0" fontId="30" fillId="11" borderId="0" xfId="0" applyFont="1" applyFill="1" applyBorder="1" applyAlignment="1">
      <alignment horizontal="center" vertical="center" wrapText="1"/>
    </xf>
    <xf numFmtId="176" fontId="18" fillId="18" borderId="3" xfId="0" applyNumberFormat="1" applyFont="1" applyFill="1" applyBorder="1" applyAlignment="1" applyProtection="1">
      <alignment horizontal="center" vertical="center" shrinkToFit="1"/>
      <protection locked="0"/>
    </xf>
    <xf numFmtId="177" fontId="18" fillId="19" borderId="3" xfId="0" applyNumberFormat="1" applyFont="1" applyFill="1" applyBorder="1" applyAlignment="1" applyProtection="1">
      <alignment horizontal="center" vertical="center" shrinkToFit="1"/>
      <protection locked="0"/>
    </xf>
    <xf numFmtId="0" fontId="4" fillId="17" borderId="3" xfId="0" applyFont="1" applyFill="1" applyBorder="1" applyAlignment="1" applyProtection="1">
      <alignment horizontal="center" vertical="center" wrapText="1"/>
      <protection locked="0"/>
    </xf>
    <xf numFmtId="178" fontId="18" fillId="17" borderId="3" xfId="0" applyNumberFormat="1" applyFont="1" applyFill="1" applyBorder="1" applyAlignment="1" applyProtection="1">
      <alignment horizontal="center" vertical="center" shrinkToFit="1"/>
      <protection locked="0"/>
    </xf>
    <xf numFmtId="179" fontId="18" fillId="17" borderId="3" xfId="0" applyNumberFormat="1" applyFont="1" applyFill="1" applyBorder="1" applyAlignment="1" applyProtection="1">
      <alignment horizontal="center" vertical="center" shrinkToFit="1"/>
      <protection locked="0"/>
    </xf>
    <xf numFmtId="0" fontId="40" fillId="17" borderId="3" xfId="0" applyFont="1" applyFill="1" applyBorder="1" applyAlignment="1" applyProtection="1">
      <alignment horizontal="left" vertical="center" wrapText="1"/>
      <protection locked="0"/>
    </xf>
    <xf numFmtId="0" fontId="41" fillId="17" borderId="3" xfId="0" applyFont="1" applyFill="1" applyBorder="1" applyAlignment="1" applyProtection="1">
      <alignment horizontal="left" vertical="center" wrapText="1"/>
      <protection locked="0"/>
    </xf>
    <xf numFmtId="0" fontId="42" fillId="17" borderId="3" xfId="0" applyFont="1" applyFill="1" applyBorder="1" applyAlignment="1" applyProtection="1">
      <alignment horizontal="left" vertical="center" wrapText="1"/>
      <protection locked="0"/>
    </xf>
    <xf numFmtId="0" fontId="6" fillId="11" borderId="2" xfId="0" applyFont="1" applyFill="1" applyBorder="1" applyAlignment="1">
      <alignment horizontal="center" vertical="center" wrapText="1"/>
    </xf>
    <xf numFmtId="0" fontId="9" fillId="17" borderId="3" xfId="0" applyFont="1" applyFill="1" applyBorder="1" applyAlignment="1" applyProtection="1">
      <alignment horizontal="left" vertical="center" wrapText="1"/>
      <protection locked="0"/>
    </xf>
    <xf numFmtId="0" fontId="20" fillId="17" borderId="3" xfId="0" applyFont="1" applyFill="1" applyBorder="1" applyAlignment="1" applyProtection="1">
      <alignment horizontal="left" vertical="center" wrapText="1"/>
      <protection locked="0"/>
    </xf>
    <xf numFmtId="0" fontId="4" fillId="0" borderId="0" xfId="0" applyFont="1" applyBorder="1" applyAlignment="1">
      <alignment horizontal="center" vertical="center" wrapText="1"/>
    </xf>
    <xf numFmtId="0" fontId="43" fillId="17" borderId="3" xfId="0" applyFont="1" applyFill="1" applyBorder="1" applyAlignment="1" applyProtection="1">
      <alignment horizontal="left" vertical="center" wrapText="1"/>
      <protection locked="0"/>
    </xf>
    <xf numFmtId="0" fontId="26" fillId="17" borderId="3" xfId="0" applyFont="1" applyFill="1" applyBorder="1" applyAlignment="1" applyProtection="1">
      <alignment horizontal="left" vertical="center" wrapText="1"/>
      <protection locked="0"/>
    </xf>
    <xf numFmtId="0" fontId="23" fillId="17" borderId="3" xfId="0" applyFont="1" applyFill="1" applyBorder="1" applyAlignment="1" applyProtection="1">
      <alignment horizontal="left" vertical="center" wrapText="1"/>
      <protection locked="0"/>
    </xf>
    <xf numFmtId="0" fontId="44" fillId="17" borderId="3" xfId="0" applyFont="1" applyFill="1" applyBorder="1" applyAlignment="1" applyProtection="1">
      <alignment horizontal="left" vertical="center" wrapText="1"/>
      <protection locked="0"/>
    </xf>
    <xf numFmtId="0" fontId="45" fillId="17" borderId="3" xfId="0" applyFont="1" applyFill="1" applyBorder="1" applyAlignment="1" applyProtection="1">
      <alignment horizontal="left" vertical="center" wrapText="1"/>
      <protection locked="0"/>
    </xf>
    <xf numFmtId="0" fontId="31" fillId="11" borderId="8" xfId="0" applyFont="1" applyFill="1" applyBorder="1" applyAlignment="1">
      <alignment horizontal="center" vertical="center" wrapText="1"/>
    </xf>
    <xf numFmtId="176" fontId="13" fillId="14" borderId="3" xfId="0" applyNumberFormat="1" applyFont="1" applyFill="1" applyBorder="1" applyAlignment="1" applyProtection="1">
      <alignment horizontal="center" vertical="center" wrapText="1"/>
      <protection locked="0"/>
    </xf>
    <xf numFmtId="176" fontId="46" fillId="14" borderId="3" xfId="0" applyNumberFormat="1" applyFont="1" applyFill="1" applyBorder="1" applyAlignment="1" applyProtection="1">
      <alignment horizontal="center" vertical="center" wrapText="1"/>
      <protection locked="0"/>
    </xf>
    <xf numFmtId="0" fontId="14" fillId="14" borderId="3" xfId="0" applyFont="1" applyFill="1" applyBorder="1" applyAlignment="1" applyProtection="1">
      <alignment horizontal="left" vertical="center" wrapText="1" indent="1"/>
      <protection locked="0"/>
    </xf>
    <xf numFmtId="0" fontId="42" fillId="14" borderId="3" xfId="0" applyFont="1" applyFill="1" applyBorder="1" applyAlignment="1" applyProtection="1">
      <alignment horizontal="left" vertical="center" wrapText="1" indent="1"/>
      <protection locked="0"/>
    </xf>
    <xf numFmtId="0" fontId="31" fillId="11" borderId="9" xfId="0" applyFont="1" applyFill="1" applyBorder="1" applyAlignment="1">
      <alignment horizontal="center" vertical="center" wrapText="1"/>
    </xf>
    <xf numFmtId="0" fontId="47" fillId="14" borderId="3" xfId="0" applyFont="1" applyFill="1" applyBorder="1" applyAlignment="1" applyProtection="1">
      <alignment horizontal="left" vertical="center" wrapText="1" indent="1"/>
      <protection locked="0"/>
    </xf>
    <xf numFmtId="0" fontId="19" fillId="14" borderId="3" xfId="0" applyFont="1" applyFill="1" applyBorder="1" applyAlignment="1" applyProtection="1">
      <alignment horizontal="left" vertical="center" wrapText="1" indent="1"/>
      <protection locked="0"/>
    </xf>
    <xf numFmtId="0" fontId="48" fillId="0" borderId="0" xfId="0" applyFont="1" applyBorder="1" applyAlignment="1">
      <alignment horizontal="left" vertical="center" wrapText="1"/>
    </xf>
    <xf numFmtId="0" fontId="49" fillId="0" borderId="0" xfId="0" applyFont="1" applyAlignment="1">
      <alignment horizontal="left" vertical="center" wrapText="1"/>
    </xf>
    <xf numFmtId="0" fontId="22" fillId="14" borderId="3" xfId="0" applyFont="1" applyFill="1" applyBorder="1" applyAlignment="1" applyProtection="1">
      <alignment horizontal="left" vertical="center" wrapText="1" indent="1"/>
      <protection locked="0"/>
    </xf>
    <xf numFmtId="0" fontId="50" fillId="14" borderId="3" xfId="0" applyFont="1" applyFill="1" applyBorder="1" applyAlignment="1" applyProtection="1">
      <alignment horizontal="left" vertical="center" wrapText="1" indent="1"/>
      <protection locked="0"/>
    </xf>
    <xf numFmtId="0" fontId="9" fillId="14" borderId="3" xfId="0" applyFont="1" applyFill="1" applyBorder="1" applyAlignment="1" applyProtection="1">
      <alignment horizontal="left" vertical="center" wrapText="1" indent="1"/>
      <protection locked="0"/>
    </xf>
    <xf numFmtId="0" fontId="9" fillId="14" borderId="7" xfId="0" applyFont="1" applyFill="1" applyBorder="1" applyAlignment="1" applyProtection="1">
      <alignment horizontal="left" vertical="center" wrapText="1" indent="1"/>
      <protection locked="0"/>
    </xf>
    <xf numFmtId="0" fontId="51" fillId="0" borderId="10" xfId="0" applyFont="1" applyBorder="1" applyAlignment="1">
      <alignment horizontal="center" vertical="center"/>
    </xf>
    <xf numFmtId="0" fontId="51" fillId="0" borderId="11" xfId="0" applyFont="1" applyBorder="1" applyAlignment="1">
      <alignment horizontal="center" vertical="center"/>
    </xf>
    <xf numFmtId="0" fontId="1" fillId="0" borderId="11" xfId="0" applyFont="1" applyBorder="1">
      <alignment vertical="center"/>
    </xf>
    <xf numFmtId="0" fontId="52" fillId="20" borderId="12" xfId="0" applyFont="1" applyFill="1" applyBorder="1" applyAlignment="1">
      <alignment horizontal="center" vertical="center"/>
    </xf>
    <xf numFmtId="0" fontId="52" fillId="20" borderId="13" xfId="0" applyFont="1" applyFill="1" applyBorder="1" applyAlignment="1">
      <alignment horizontal="center" vertical="center"/>
    </xf>
    <xf numFmtId="0" fontId="53" fillId="0" borderId="13" xfId="0" applyFont="1" applyBorder="1" applyAlignment="1">
      <alignment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53" fillId="0" borderId="13" xfId="0" applyFont="1" applyBorder="1" applyAlignment="1">
      <alignment horizontal="left" vertical="center" wrapText="1"/>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54" fillId="0" borderId="15" xfId="0" applyFont="1" applyBorder="1" applyAlignment="1">
      <alignment horizontal="left" vertical="center" wrapText="1"/>
    </xf>
    <xf numFmtId="0" fontId="55" fillId="17" borderId="3" xfId="0" applyFont="1" applyFill="1" applyBorder="1" applyAlignment="1" applyProtection="1">
      <alignment horizontal="left" vertical="center" wrapText="1"/>
      <protection locked="0"/>
    </xf>
    <xf numFmtId="0" fontId="19" fillId="17" borderId="3" xfId="0" applyFont="1" applyFill="1" applyBorder="1" applyAlignment="1" applyProtection="1">
      <alignment horizontal="left" vertical="center" wrapText="1"/>
      <protection locked="0"/>
    </xf>
    <xf numFmtId="0" fontId="1" fillId="0" borderId="11" xfId="0" applyFont="1" applyBorder="1" applyAlignment="1">
      <alignment horizontal="center" vertical="center"/>
    </xf>
    <xf numFmtId="0" fontId="1" fillId="0" borderId="16" xfId="0" applyFont="1" applyBorder="1" applyAlignment="1">
      <alignment horizontal="center" vertical="center"/>
    </xf>
    <xf numFmtId="0" fontId="54" fillId="0" borderId="13" xfId="0" applyFont="1" applyBorder="1" applyAlignment="1">
      <alignment vertical="center"/>
    </xf>
    <xf numFmtId="0" fontId="54" fillId="0" borderId="17" xfId="0" applyFont="1" applyBorder="1" applyAlignment="1">
      <alignment horizontal="center" vertical="center"/>
    </xf>
    <xf numFmtId="0" fontId="54" fillId="0" borderId="18" xfId="0" applyFont="1" applyBorder="1" applyAlignment="1">
      <alignment horizontal="center" vertical="center"/>
    </xf>
    <xf numFmtId="0" fontId="54" fillId="0" borderId="19" xfId="0" applyFont="1" applyBorder="1" applyAlignment="1">
      <alignment horizontal="center" vertical="center"/>
    </xf>
    <xf numFmtId="0" fontId="54" fillId="0" borderId="20" xfId="0" applyFont="1" applyBorder="1" applyAlignment="1">
      <alignment horizontal="center" vertical="center"/>
    </xf>
    <xf numFmtId="0" fontId="54" fillId="0" borderId="21" xfId="0" applyFont="1" applyBorder="1" applyAlignment="1">
      <alignment horizontal="center" vertical="center"/>
    </xf>
    <xf numFmtId="0" fontId="54" fillId="0" borderId="22" xfId="0" applyFont="1" applyBorder="1" applyAlignment="1">
      <alignment horizontal="center" vertical="center"/>
    </xf>
    <xf numFmtId="0" fontId="54" fillId="0" borderId="13" xfId="0" applyFont="1" applyBorder="1" applyAlignment="1">
      <alignment horizontal="left" vertical="center" wrapText="1"/>
    </xf>
    <xf numFmtId="0" fontId="54" fillId="0" borderId="23" xfId="0" applyFont="1" applyBorder="1" applyAlignment="1">
      <alignment horizontal="left" vertical="center" wrapText="1"/>
    </xf>
    <xf numFmtId="0" fontId="54" fillId="0" borderId="24" xfId="0" applyFont="1" applyBorder="1" applyAlignment="1">
      <alignment horizontal="left" vertical="center" wrapText="1"/>
    </xf>
    <xf numFmtId="0" fontId="56" fillId="17" borderId="3" xfId="0" applyFont="1" applyFill="1" applyBorder="1" applyAlignment="1" applyProtection="1">
      <alignment horizontal="left" vertical="center" wrapText="1"/>
      <protection locked="0"/>
    </xf>
    <xf numFmtId="0" fontId="22" fillId="17" borderId="3" xfId="0" applyFont="1" applyFill="1" applyBorder="1" applyAlignment="1" applyProtection="1">
      <alignment horizontal="left" vertical="center" wrapText="1"/>
      <protection locked="0"/>
    </xf>
    <xf numFmtId="0" fontId="57" fillId="17" borderId="3" xfId="0" applyFont="1" applyFill="1" applyBorder="1" applyAlignment="1" applyProtection="1">
      <alignment horizontal="left" vertical="center" wrapText="1"/>
      <protection locked="0"/>
    </xf>
    <xf numFmtId="0" fontId="58" fillId="17" borderId="3" xfId="0" applyFont="1" applyFill="1" applyBorder="1" applyAlignment="1" applyProtection="1">
      <alignment horizontal="left" vertical="center" wrapText="1"/>
      <protection locked="0"/>
    </xf>
    <xf numFmtId="176" fontId="8" fillId="17" borderId="3" xfId="0" applyNumberFormat="1" applyFont="1" applyFill="1" applyBorder="1" applyAlignment="1" applyProtection="1">
      <alignment horizontal="center" vertical="center" wrapText="1"/>
      <protection locked="0"/>
    </xf>
    <xf numFmtId="176" fontId="8" fillId="17" borderId="9" xfId="0" applyNumberFormat="1" applyFont="1" applyFill="1" applyBorder="1" applyAlignment="1" applyProtection="1">
      <alignment horizontal="center" vertical="center" wrapText="1"/>
      <protection locked="0"/>
    </xf>
    <xf numFmtId="0" fontId="23" fillId="17" borderId="3" xfId="0" applyFont="1" applyFill="1" applyBorder="1" applyAlignment="1" applyProtection="1">
      <alignment horizontal="left" vertical="center" wrapText="1" indent="1"/>
      <protection locked="0"/>
    </xf>
    <xf numFmtId="0" fontId="23" fillId="17" borderId="9" xfId="0" applyFont="1" applyFill="1" applyBorder="1" applyAlignment="1" applyProtection="1">
      <alignment horizontal="left" vertical="center" wrapText="1" indent="1"/>
      <protection locked="0"/>
    </xf>
    <xf numFmtId="176" fontId="13" fillId="17" borderId="3" xfId="0" applyNumberFormat="1" applyFont="1" applyFill="1" applyBorder="1" applyAlignment="1" applyProtection="1">
      <alignment horizontal="center" vertical="center" wrapText="1"/>
      <protection locked="0"/>
    </xf>
    <xf numFmtId="176" fontId="46" fillId="17" borderId="3" xfId="0" applyNumberFormat="1" applyFont="1" applyFill="1" applyBorder="1" applyAlignment="1" applyProtection="1">
      <alignment horizontal="center" vertical="center" wrapText="1"/>
      <protection locked="0"/>
    </xf>
    <xf numFmtId="176" fontId="46" fillId="17" borderId="9" xfId="0" applyNumberFormat="1" applyFont="1" applyFill="1" applyBorder="1" applyAlignment="1" applyProtection="1">
      <alignment horizontal="center" vertical="center" wrapText="1"/>
      <protection locked="0"/>
    </xf>
    <xf numFmtId="0" fontId="44" fillId="17" borderId="3" xfId="0" applyFont="1" applyFill="1" applyBorder="1" applyAlignment="1" applyProtection="1">
      <alignment horizontal="left" vertical="center" wrapText="1" indent="1"/>
      <protection locked="0"/>
    </xf>
    <xf numFmtId="0" fontId="44" fillId="17" borderId="9" xfId="0" applyFont="1" applyFill="1" applyBorder="1" applyAlignment="1" applyProtection="1">
      <alignment horizontal="left" vertical="center" wrapText="1" indent="1"/>
      <protection locked="0"/>
    </xf>
    <xf numFmtId="0" fontId="26" fillId="17" borderId="3" xfId="0" applyFont="1" applyFill="1" applyBorder="1" applyAlignment="1" applyProtection="1">
      <alignment horizontal="left" vertical="center" wrapText="1" indent="1"/>
      <protection locked="0"/>
    </xf>
    <xf numFmtId="0" fontId="26" fillId="17" borderId="9" xfId="0" applyFont="1" applyFill="1" applyBorder="1" applyAlignment="1" applyProtection="1">
      <alignment horizontal="left" vertical="center" wrapText="1" indent="1"/>
      <protection locked="0"/>
    </xf>
    <xf numFmtId="0" fontId="59" fillId="17" borderId="3" xfId="0" applyFont="1" applyFill="1" applyBorder="1" applyAlignment="1" applyProtection="1">
      <alignment horizontal="left" vertical="center" wrapText="1" indent="1"/>
      <protection locked="0"/>
    </xf>
    <xf numFmtId="0" fontId="59" fillId="17" borderId="9" xfId="0" applyFont="1" applyFill="1" applyBorder="1" applyAlignment="1" applyProtection="1">
      <alignment horizontal="left" vertical="center" wrapText="1" indent="1"/>
      <protection locked="0"/>
    </xf>
    <xf numFmtId="0" fontId="59" fillId="17" borderId="7" xfId="0" applyFont="1" applyFill="1" applyBorder="1" applyAlignment="1" applyProtection="1">
      <alignment horizontal="left" vertical="center" wrapText="1" indent="1"/>
      <protection locked="0"/>
    </xf>
    <xf numFmtId="0" fontId="59" fillId="17" borderId="25" xfId="0" applyFont="1" applyFill="1" applyBorder="1" applyAlignment="1" applyProtection="1">
      <alignment horizontal="left" vertical="center" wrapText="1" indent="1"/>
      <protection locked="0"/>
    </xf>
    <xf numFmtId="0" fontId="0" fillId="10" borderId="0" xfId="0" applyFill="1" applyAlignment="1" applyProtection="1">
      <alignment horizontal="right" vertical="center"/>
      <protection locked="0"/>
    </xf>
    <xf numFmtId="0" fontId="60" fillId="10" borderId="0" xfId="0" applyFont="1" applyFill="1" applyAlignment="1" applyProtection="1">
      <alignment horizontal="left" wrapText="1"/>
      <protection locked="0"/>
    </xf>
    <xf numFmtId="0" fontId="61" fillId="10" borderId="0" xfId="0" applyFont="1" applyFill="1" applyAlignment="1" applyProtection="1">
      <alignment horizontal="left"/>
      <protection locked="0"/>
    </xf>
    <xf numFmtId="0" fontId="30" fillId="11" borderId="26" xfId="0" applyFont="1" applyFill="1" applyBorder="1" applyAlignment="1">
      <alignment horizontal="center" vertical="center" wrapText="1"/>
    </xf>
    <xf numFmtId="0" fontId="30" fillId="12" borderId="27" xfId="0" applyFont="1" applyFill="1" applyBorder="1" applyAlignment="1">
      <alignment horizontal="center" vertical="center" wrapText="1"/>
    </xf>
    <xf numFmtId="0" fontId="31" fillId="11" borderId="1" xfId="0" applyFont="1" applyFill="1" applyBorder="1" applyAlignment="1">
      <alignment horizontal="center" vertical="center" wrapText="1"/>
    </xf>
    <xf numFmtId="0" fontId="30" fillId="12" borderId="28" xfId="0" applyFont="1" applyFill="1" applyBorder="1" applyAlignment="1">
      <alignment horizontal="center" vertical="center" wrapText="1"/>
    </xf>
    <xf numFmtId="0" fontId="30" fillId="13" borderId="4" xfId="0" applyFont="1" applyFill="1" applyBorder="1" applyAlignment="1">
      <alignment horizontal="center" vertical="center" wrapText="1"/>
    </xf>
    <xf numFmtId="0" fontId="30" fillId="12" borderId="29" xfId="0" applyFont="1" applyFill="1" applyBorder="1" applyAlignment="1">
      <alignment horizontal="center" vertical="center" wrapText="1"/>
    </xf>
    <xf numFmtId="0" fontId="30" fillId="13" borderId="30" xfId="0" applyFont="1" applyFill="1" applyBorder="1" applyAlignment="1">
      <alignment horizontal="center" vertical="center" wrapText="1"/>
    </xf>
    <xf numFmtId="0" fontId="9" fillId="14" borderId="31" xfId="0" applyFont="1" applyFill="1" applyBorder="1" applyAlignment="1" applyProtection="1">
      <alignment horizontal="left" vertical="center" wrapText="1" indent="1"/>
      <protection locked="0"/>
    </xf>
    <xf numFmtId="0" fontId="20" fillId="14" borderId="31" xfId="0" applyFont="1" applyFill="1" applyBorder="1" applyAlignment="1" applyProtection="1">
      <alignment horizontal="left" vertical="center" wrapText="1" indent="1"/>
      <protection locked="0"/>
    </xf>
    <xf numFmtId="0" fontId="30" fillId="12" borderId="32" xfId="0" applyFont="1" applyFill="1" applyBorder="1" applyAlignment="1">
      <alignment horizontal="center" vertical="center" wrapText="1"/>
    </xf>
    <xf numFmtId="176" fontId="62" fillId="17" borderId="3" xfId="0" applyNumberFormat="1" applyFont="1" applyFill="1" applyBorder="1" applyAlignment="1" applyProtection="1">
      <alignment horizontal="center" vertical="center" wrapText="1"/>
      <protection locked="0"/>
    </xf>
    <xf numFmtId="0" fontId="24" fillId="17" borderId="3" xfId="0" applyFont="1" applyFill="1" applyBorder="1" applyAlignment="1" applyProtection="1">
      <alignment horizontal="left" vertical="center" wrapText="1" indent="1"/>
      <protection locked="0"/>
    </xf>
    <xf numFmtId="0" fontId="30" fillId="12" borderId="33" xfId="0" applyFont="1" applyFill="1" applyBorder="1" applyAlignment="1">
      <alignment horizontal="center" vertical="center" wrapText="1"/>
    </xf>
    <xf numFmtId="0" fontId="30" fillId="13" borderId="6" xfId="0" applyFont="1" applyFill="1" applyBorder="1" applyAlignment="1">
      <alignment horizontal="center" vertical="center" wrapText="1"/>
    </xf>
    <xf numFmtId="0" fontId="47" fillId="17" borderId="7" xfId="0" applyFont="1" applyFill="1" applyBorder="1" applyAlignment="1" applyProtection="1">
      <alignment horizontal="left" vertical="center" wrapText="1" indent="1"/>
      <protection locked="0"/>
    </xf>
    <xf numFmtId="0" fontId="30" fillId="11" borderId="34" xfId="0" applyFont="1" applyFill="1" applyBorder="1" applyAlignment="1">
      <alignment horizontal="center" vertical="center" wrapText="1"/>
    </xf>
    <xf numFmtId="0" fontId="30" fillId="13" borderId="31" xfId="0" applyFont="1" applyFill="1" applyBorder="1" applyAlignment="1">
      <alignment horizontal="center" vertical="center" wrapText="1"/>
    </xf>
    <xf numFmtId="0" fontId="20" fillId="17" borderId="31" xfId="0" applyFont="1" applyFill="1" applyBorder="1" applyAlignment="1" applyProtection="1">
      <alignment horizontal="left" vertical="center" wrapText="1"/>
      <protection locked="0"/>
    </xf>
    <xf numFmtId="0" fontId="19" fillId="17" borderId="31" xfId="0" applyFont="1" applyFill="1" applyBorder="1" applyAlignment="1" applyProtection="1">
      <alignment horizontal="left" vertical="center" wrapText="1"/>
      <protection locked="0"/>
    </xf>
    <xf numFmtId="0" fontId="20" fillId="17" borderId="7" xfId="0" applyFont="1" applyFill="1" applyBorder="1" applyAlignment="1" applyProtection="1">
      <alignment horizontal="left" vertical="center" wrapText="1"/>
      <protection locked="0"/>
    </xf>
    <xf numFmtId="0" fontId="47" fillId="17" borderId="3" xfId="0" applyFont="1" applyFill="1" applyBorder="1" applyAlignment="1" applyProtection="1">
      <alignment horizontal="left" vertical="center" wrapText="1" indent="1"/>
      <protection locked="0"/>
    </xf>
    <xf numFmtId="0" fontId="9" fillId="17" borderId="7" xfId="0" applyFont="1" applyFill="1" applyBorder="1" applyAlignment="1" applyProtection="1">
      <alignment horizontal="left" vertical="center" wrapText="1"/>
      <protection locked="0"/>
    </xf>
    <xf numFmtId="0" fontId="9" fillId="17" borderId="31" xfId="0" applyFont="1" applyFill="1" applyBorder="1" applyAlignment="1" applyProtection="1">
      <alignment horizontal="left" vertical="center" wrapText="1"/>
      <protection locked="0"/>
    </xf>
    <xf numFmtId="0" fontId="23" fillId="17" borderId="31" xfId="0" applyFont="1" applyFill="1" applyBorder="1" applyAlignment="1" applyProtection="1">
      <alignment horizontal="left" vertical="center" wrapText="1"/>
      <protection locked="0"/>
    </xf>
    <xf numFmtId="0" fontId="24" fillId="17" borderId="31" xfId="0" applyFont="1" applyFill="1" applyBorder="1" applyAlignment="1" applyProtection="1">
      <alignment horizontal="left" vertical="center" wrapText="1"/>
      <protection locked="0"/>
    </xf>
    <xf numFmtId="0" fontId="47" fillId="17" borderId="31" xfId="0" applyFont="1" applyFill="1" applyBorder="1" applyAlignment="1" applyProtection="1">
      <alignment horizontal="left" vertical="center" wrapText="1"/>
      <protection locked="0"/>
    </xf>
    <xf numFmtId="0" fontId="42" fillId="17" borderId="31" xfId="0" applyFont="1" applyFill="1" applyBorder="1" applyAlignment="1" applyProtection="1">
      <alignment horizontal="left" vertical="center" wrapText="1"/>
      <protection locked="0"/>
    </xf>
    <xf numFmtId="0" fontId="63" fillId="17" borderId="31" xfId="0" applyFont="1" applyFill="1" applyBorder="1" applyAlignment="1" applyProtection="1">
      <alignment horizontal="left" vertical="center" wrapText="1"/>
      <protection locked="0"/>
    </xf>
    <xf numFmtId="0" fontId="4" fillId="0" borderId="0" xfId="0" applyFont="1" applyBorder="1" applyAlignment="1">
      <alignment horizontal="right" vertical="center" wrapText="1"/>
    </xf>
    <xf numFmtId="0" fontId="1" fillId="0" borderId="34" xfId="0" applyFont="1" applyBorder="1">
      <alignment vertical="center"/>
    </xf>
    <xf numFmtId="0" fontId="19" fillId="17" borderId="7" xfId="0" applyFont="1" applyFill="1" applyBorder="1" applyAlignment="1" applyProtection="1">
      <alignment horizontal="left" vertical="center" wrapText="1"/>
      <protection locked="0"/>
    </xf>
    <xf numFmtId="0" fontId="4" fillId="0" borderId="0" xfId="0" applyFont="1" applyAlignment="1">
      <alignment horizontal="right" vertical="center" wrapText="1"/>
    </xf>
    <xf numFmtId="0" fontId="1" fillId="0" borderId="35" xfId="0" applyFont="1" applyBorder="1">
      <alignment vertical="center"/>
    </xf>
    <xf numFmtId="176" fontId="33" fillId="17" borderId="9" xfId="0" applyNumberFormat="1" applyFont="1" applyFill="1" applyBorder="1" applyAlignment="1" applyProtection="1">
      <alignment horizontal="center" vertical="center" wrapText="1"/>
      <protection locked="0"/>
    </xf>
    <xf numFmtId="0" fontId="20" fillId="17" borderId="9" xfId="0" applyFont="1" applyFill="1" applyBorder="1" applyAlignment="1" applyProtection="1">
      <alignment horizontal="left" vertical="center" wrapText="1" indent="1"/>
      <protection locked="0"/>
    </xf>
    <xf numFmtId="0" fontId="20" fillId="17" borderId="31" xfId="0" applyFont="1" applyFill="1" applyBorder="1" applyAlignment="1" applyProtection="1">
      <alignment horizontal="left" vertical="center" wrapText="1" indent="1"/>
      <protection locked="0"/>
    </xf>
    <xf numFmtId="0" fontId="20" fillId="17" borderId="36" xfId="0" applyFont="1" applyFill="1" applyBorder="1" applyAlignment="1" applyProtection="1">
      <alignment horizontal="left" vertical="center" wrapText="1" indent="1"/>
      <protection locked="0"/>
    </xf>
    <xf numFmtId="0" fontId="42" fillId="17" borderId="3" xfId="0" applyFont="1" applyFill="1" applyBorder="1" applyAlignment="1" applyProtection="1">
      <alignment horizontal="left" vertical="center" wrapText="1" indent="1"/>
      <protection locked="0"/>
    </xf>
    <xf numFmtId="0" fontId="9" fillId="17" borderId="3" xfId="0" applyFont="1" applyFill="1" applyBorder="1" applyAlignment="1" applyProtection="1">
      <alignment horizontal="left" vertical="center" wrapText="1" indent="1"/>
      <protection locked="0"/>
    </xf>
    <xf numFmtId="0" fontId="9" fillId="17" borderId="9" xfId="0" applyFont="1" applyFill="1" applyBorder="1" applyAlignment="1" applyProtection="1">
      <alignment horizontal="left" vertical="center" wrapText="1" indent="1"/>
      <protection locked="0"/>
    </xf>
    <xf numFmtId="0" fontId="9" fillId="17" borderId="31" xfId="0" applyFont="1" applyFill="1" applyBorder="1" applyAlignment="1" applyProtection="1">
      <alignment horizontal="left" vertical="center" wrapText="1" indent="1"/>
      <protection locked="0"/>
    </xf>
    <xf numFmtId="0" fontId="9" fillId="17" borderId="36" xfId="0" applyFont="1" applyFill="1" applyBorder="1" applyAlignment="1" applyProtection="1">
      <alignment horizontal="left" vertical="center" wrapText="1" indent="1"/>
      <protection locked="0"/>
    </xf>
    <xf numFmtId="0" fontId="20" fillId="17" borderId="25" xfId="0" applyFont="1" applyFill="1" applyBorder="1" applyAlignment="1" applyProtection="1">
      <alignment horizontal="left" vertical="center" wrapText="1" indent="1"/>
      <protection locked="0"/>
    </xf>
    <xf numFmtId="0" fontId="30" fillId="12" borderId="26" xfId="0" applyFont="1" applyFill="1" applyBorder="1" applyAlignment="1">
      <alignment horizontal="center" vertical="center" wrapText="1"/>
    </xf>
    <xf numFmtId="0" fontId="31" fillId="11" borderId="37" xfId="0" applyFont="1" applyFill="1" applyBorder="1" applyAlignment="1">
      <alignment horizontal="center" vertical="center" wrapText="1"/>
    </xf>
    <xf numFmtId="0" fontId="31" fillId="11" borderId="38" xfId="0" applyFont="1" applyFill="1" applyBorder="1" applyAlignment="1">
      <alignment horizontal="center" vertical="center" wrapText="1"/>
    </xf>
    <xf numFmtId="0" fontId="14" fillId="17" borderId="3" xfId="0" applyFont="1" applyFill="1" applyBorder="1" applyAlignment="1" applyProtection="1">
      <alignment horizontal="left" vertical="center" wrapText="1" indent="1"/>
      <protection locked="0"/>
    </xf>
    <xf numFmtId="0" fontId="1" fillId="16" borderId="0" xfId="0" applyFont="1" applyFill="1" applyAlignment="1">
      <alignment vertical="center"/>
    </xf>
    <xf numFmtId="0" fontId="30" fillId="13" borderId="39" xfId="0" applyFont="1" applyFill="1" applyBorder="1" applyAlignment="1">
      <alignment horizontal="center" vertical="center" wrapText="1"/>
    </xf>
    <xf numFmtId="0" fontId="9" fillId="17" borderId="40" xfId="0" applyFont="1" applyFill="1" applyBorder="1" applyAlignment="1" applyProtection="1">
      <alignment horizontal="left" vertical="center" wrapText="1" indent="1"/>
      <protection locked="0"/>
    </xf>
    <xf numFmtId="0" fontId="30" fillId="13" borderId="40" xfId="0" applyFont="1" applyFill="1" applyBorder="1" applyAlignment="1">
      <alignment horizontal="center" vertical="center" wrapText="1"/>
    </xf>
    <xf numFmtId="0" fontId="20" fillId="17" borderId="40" xfId="0" applyFont="1" applyFill="1" applyBorder="1" applyAlignment="1" applyProtection="1">
      <alignment horizontal="left" vertical="center" wrapText="1"/>
      <protection locked="0"/>
    </xf>
    <xf numFmtId="0" fontId="57" fillId="17" borderId="31" xfId="0" applyFont="1" applyFill="1" applyBorder="1" applyAlignment="1" applyProtection="1">
      <alignment horizontal="left" vertical="center" wrapText="1"/>
      <protection locked="0"/>
    </xf>
    <xf numFmtId="0" fontId="44" fillId="17" borderId="31" xfId="0" applyFont="1" applyFill="1" applyBorder="1" applyAlignment="1" applyProtection="1">
      <alignment horizontal="left" vertical="center" wrapText="1"/>
      <protection locked="0"/>
    </xf>
    <xf numFmtId="0" fontId="64" fillId="17" borderId="31" xfId="0" applyFont="1" applyFill="1" applyBorder="1" applyAlignment="1" applyProtection="1">
      <alignment horizontal="left" vertical="center" wrapText="1"/>
      <protection locked="0"/>
    </xf>
    <xf numFmtId="0" fontId="9" fillId="17" borderId="40" xfId="0" applyFont="1" applyFill="1" applyBorder="1" applyAlignment="1" applyProtection="1">
      <alignment horizontal="left" vertical="center" wrapText="1"/>
      <protection locked="0"/>
    </xf>
    <xf numFmtId="0" fontId="42" fillId="17" borderId="40" xfId="0" applyFont="1" applyFill="1" applyBorder="1" applyAlignment="1" applyProtection="1">
      <alignment horizontal="left" vertical="center" wrapText="1"/>
      <protection locked="0"/>
    </xf>
    <xf numFmtId="0" fontId="40" fillId="17" borderId="31" xfId="0" applyFont="1" applyFill="1" applyBorder="1" applyAlignment="1" applyProtection="1">
      <alignment horizontal="left" vertical="center" wrapText="1"/>
      <protection locked="0"/>
    </xf>
    <xf numFmtId="0" fontId="65" fillId="17" borderId="31" xfId="0" applyFont="1" applyFill="1" applyBorder="1" applyAlignment="1" applyProtection="1">
      <alignment horizontal="left" vertical="center" wrapText="1"/>
      <protection locked="0"/>
    </xf>
    <xf numFmtId="0" fontId="66" fillId="17" borderId="40" xfId="0" applyFont="1" applyFill="1" applyBorder="1" applyAlignment="1" applyProtection="1">
      <alignment horizontal="left" vertical="center" wrapText="1"/>
      <protection locked="0"/>
    </xf>
    <xf numFmtId="0" fontId="67" fillId="17" borderId="40" xfId="0" applyFont="1" applyFill="1" applyBorder="1" applyAlignment="1" applyProtection="1">
      <alignment horizontal="left" vertical="center" wrapText="1"/>
      <protection locked="0"/>
    </xf>
    <xf numFmtId="0" fontId="31" fillId="11" borderId="41" xfId="0" applyFont="1" applyFill="1" applyBorder="1" applyAlignment="1">
      <alignment horizontal="center" vertical="center" wrapText="1"/>
    </xf>
    <xf numFmtId="176" fontId="68" fillId="17" borderId="3" xfId="0" applyNumberFormat="1" applyFont="1" applyFill="1" applyBorder="1" applyAlignment="1" applyProtection="1">
      <alignment horizontal="center" vertical="center" wrapText="1"/>
      <protection locked="0"/>
    </xf>
    <xf numFmtId="176" fontId="62" fillId="17" borderId="42" xfId="0" applyNumberFormat="1" applyFont="1" applyFill="1" applyBorder="1" applyAlignment="1" applyProtection="1">
      <alignment horizontal="center" vertical="center" wrapText="1"/>
      <protection locked="0"/>
    </xf>
    <xf numFmtId="0" fontId="9" fillId="17" borderId="42" xfId="0" applyFont="1" applyFill="1" applyBorder="1" applyAlignment="1" applyProtection="1">
      <alignment horizontal="left" vertical="center" wrapText="1" indent="1"/>
      <protection locked="0"/>
    </xf>
    <xf numFmtId="0" fontId="9" fillId="17" borderId="43" xfId="0" applyFont="1" applyFill="1" applyBorder="1" applyAlignment="1" applyProtection="1">
      <alignment horizontal="left" vertical="center" wrapText="1" indent="1"/>
      <protection locked="0"/>
    </xf>
    <xf numFmtId="0" fontId="31" fillId="11" borderId="44" xfId="0" applyFont="1" applyFill="1" applyBorder="1" applyAlignment="1">
      <alignment horizontal="center" vertical="center" wrapText="1"/>
    </xf>
    <xf numFmtId="176" fontId="8" fillId="17" borderId="42" xfId="0" applyNumberFormat="1" applyFont="1" applyFill="1" applyBorder="1" applyAlignment="1" applyProtection="1">
      <alignment horizontal="center" vertical="center" wrapText="1"/>
      <protection locked="0"/>
    </xf>
    <xf numFmtId="0" fontId="9" fillId="17" borderId="45" xfId="0" applyFont="1" applyFill="1" applyBorder="1" applyAlignment="1" applyProtection="1">
      <alignment horizontal="left" vertical="center" wrapText="1" indent="1"/>
      <protection locked="0"/>
    </xf>
    <xf numFmtId="0" fontId="40" fillId="17" borderId="3" xfId="0" applyFont="1" applyFill="1" applyBorder="1" applyAlignment="1" applyProtection="1">
      <alignment horizontal="left" vertical="center" wrapText="1" indent="1"/>
      <protection locked="0"/>
    </xf>
    <xf numFmtId="0" fontId="40" fillId="17" borderId="7" xfId="0" applyFont="1" applyFill="1" applyBorder="1" applyAlignment="1" applyProtection="1">
      <alignment horizontal="left" vertical="center" wrapText="1" indent="1"/>
      <protection locked="0"/>
    </xf>
    <xf numFmtId="0" fontId="58" fillId="17" borderId="31" xfId="0" applyFont="1" applyFill="1" applyBorder="1" applyAlignment="1" applyProtection="1">
      <alignment horizontal="left" vertical="center" wrapText="1"/>
      <protection locked="0"/>
    </xf>
    <xf numFmtId="0" fontId="57" fillId="17" borderId="7" xfId="0" applyFont="1" applyFill="1" applyBorder="1" applyAlignment="1" applyProtection="1">
      <alignment horizontal="left" vertical="center" wrapText="1"/>
      <protection locked="0"/>
    </xf>
    <xf numFmtId="0" fontId="69" fillId="21" borderId="46" xfId="0" applyFont="1" applyFill="1" applyBorder="1" applyAlignment="1">
      <alignment horizontal="center" vertical="top" wrapText="1"/>
    </xf>
    <xf numFmtId="0" fontId="70" fillId="21" borderId="46" xfId="0" applyFont="1" applyFill="1" applyBorder="1" applyAlignment="1">
      <alignment horizontal="center" vertical="top" wrapText="1"/>
    </xf>
    <xf numFmtId="0" fontId="71" fillId="21" borderId="46" xfId="0" applyFont="1" applyFill="1" applyBorder="1" applyAlignment="1">
      <alignment horizontal="center" wrapText="1"/>
    </xf>
    <xf numFmtId="0" fontId="71" fillId="21" borderId="47" xfId="0" applyFont="1" applyFill="1" applyBorder="1" applyAlignment="1">
      <alignment horizontal="left" vertical="center" wrapText="1"/>
    </xf>
    <xf numFmtId="0" fontId="71" fillId="21" borderId="48" xfId="0" applyFont="1" applyFill="1" applyBorder="1" applyAlignment="1">
      <alignment horizontal="left" vertical="center" wrapText="1"/>
    </xf>
    <xf numFmtId="0" fontId="72" fillId="21" borderId="49" xfId="0" applyFont="1" applyFill="1" applyBorder="1" applyAlignment="1">
      <alignment horizontal="left" vertical="center" wrapText="1"/>
    </xf>
    <xf numFmtId="0" fontId="72" fillId="21" borderId="50" xfId="0" applyFont="1" applyFill="1" applyBorder="1" applyAlignment="1">
      <alignment horizontal="left" vertical="center" wrapText="1"/>
    </xf>
    <xf numFmtId="0" fontId="69" fillId="21" borderId="51" xfId="0" applyFont="1" applyFill="1" applyBorder="1" applyAlignment="1">
      <alignment horizontal="center" vertical="center" wrapText="1"/>
    </xf>
    <xf numFmtId="0" fontId="73" fillId="21" borderId="52" xfId="0" applyFont="1" applyFill="1" applyBorder="1" applyAlignment="1">
      <alignment horizontal="left" vertical="center" wrapText="1"/>
    </xf>
    <xf numFmtId="0" fontId="73" fillId="21" borderId="53" xfId="0" applyFont="1" applyFill="1" applyBorder="1" applyAlignment="1">
      <alignment horizontal="left" vertical="center" wrapText="1"/>
    </xf>
    <xf numFmtId="0" fontId="69" fillId="21" borderId="54" xfId="0" applyFont="1" applyFill="1" applyBorder="1" applyAlignment="1">
      <alignment horizontal="center" vertical="center" wrapText="1"/>
    </xf>
    <xf numFmtId="0" fontId="73" fillId="21" borderId="55" xfId="0" applyFont="1" applyFill="1" applyBorder="1" applyAlignment="1">
      <alignment horizontal="left" vertical="center" wrapText="1"/>
    </xf>
    <xf numFmtId="0" fontId="73" fillId="21" borderId="5" xfId="0" applyFont="1" applyFill="1" applyBorder="1" applyAlignment="1">
      <alignment horizontal="left" vertical="center" wrapText="1"/>
    </xf>
    <xf numFmtId="0" fontId="74" fillId="17" borderId="31" xfId="0" applyFont="1" applyFill="1" applyBorder="1" applyAlignment="1" applyProtection="1">
      <alignment horizontal="left" vertical="center" wrapText="1"/>
      <protection locked="0"/>
    </xf>
    <xf numFmtId="0" fontId="75" fillId="17" borderId="31" xfId="0" applyFont="1" applyFill="1" applyBorder="1" applyAlignment="1" applyProtection="1">
      <alignment horizontal="left" vertical="center" wrapText="1"/>
      <protection locked="0"/>
    </xf>
    <xf numFmtId="0" fontId="76" fillId="17" borderId="31" xfId="0" applyFont="1" applyFill="1" applyBorder="1" applyAlignment="1" applyProtection="1">
      <alignment horizontal="left" vertical="center" wrapText="1"/>
      <protection locked="0"/>
    </xf>
    <xf numFmtId="0" fontId="53" fillId="17" borderId="7" xfId="0" applyFont="1" applyFill="1" applyBorder="1" applyAlignment="1" applyProtection="1">
      <alignment horizontal="left" vertical="center" wrapText="1"/>
      <protection locked="0"/>
    </xf>
    <xf numFmtId="0" fontId="59" fillId="17" borderId="7" xfId="0" applyFont="1" applyFill="1" applyBorder="1" applyAlignment="1" applyProtection="1">
      <alignment horizontal="left" vertical="center" wrapText="1"/>
      <protection locked="0"/>
    </xf>
    <xf numFmtId="0" fontId="71" fillId="21" borderId="56" xfId="0" applyFont="1" applyFill="1" applyBorder="1" applyAlignment="1">
      <alignment horizontal="left" vertical="center" wrapText="1"/>
    </xf>
    <xf numFmtId="0" fontId="72" fillId="21" borderId="57" xfId="0" applyFont="1" applyFill="1" applyBorder="1" applyAlignment="1">
      <alignment horizontal="left" vertical="center" wrapText="1"/>
    </xf>
    <xf numFmtId="0" fontId="73" fillId="21" borderId="58" xfId="0" applyFont="1" applyFill="1" applyBorder="1" applyAlignment="1">
      <alignment horizontal="left" vertical="center" wrapText="1"/>
    </xf>
    <xf numFmtId="0" fontId="73" fillId="21" borderId="59" xfId="0" applyFont="1" applyFill="1" applyBorder="1" applyAlignment="1">
      <alignment horizontal="left" vertical="center" wrapText="1"/>
    </xf>
    <xf numFmtId="0" fontId="77" fillId="17" borderId="31" xfId="0" applyFont="1" applyFill="1" applyBorder="1" applyAlignment="1" applyProtection="1">
      <alignment horizontal="left" vertical="center" wrapText="1"/>
      <protection locked="0"/>
    </xf>
    <xf numFmtId="0" fontId="40" fillId="17" borderId="7" xfId="0" applyFont="1" applyFill="1" applyBorder="1" applyAlignment="1" applyProtection="1">
      <alignment horizontal="left" vertical="center" wrapText="1"/>
      <protection locked="0"/>
    </xf>
    <xf numFmtId="0" fontId="23" fillId="17" borderId="31" xfId="0" applyFont="1" applyFill="1" applyBorder="1" applyAlignment="1" applyProtection="1">
      <alignment horizontal="left" vertical="center" wrapText="1" indent="1"/>
      <protection locked="0"/>
    </xf>
    <xf numFmtId="0" fontId="23" fillId="17" borderId="36" xfId="0" applyFont="1" applyFill="1" applyBorder="1" applyAlignment="1" applyProtection="1">
      <alignment horizontal="left" vertical="center" wrapText="1" indent="1"/>
      <protection locked="0"/>
    </xf>
    <xf numFmtId="0" fontId="19" fillId="17" borderId="3" xfId="0" applyFont="1" applyFill="1" applyBorder="1" applyAlignment="1" applyProtection="1">
      <alignment horizontal="left" vertical="center" wrapText="1" indent="1"/>
      <protection locked="0"/>
    </xf>
    <xf numFmtId="0" fontId="19" fillId="17" borderId="9" xfId="0" applyFont="1" applyFill="1" applyBorder="1" applyAlignment="1" applyProtection="1">
      <alignment horizontal="left" vertical="center" wrapText="1" indent="1"/>
      <protection locked="0"/>
    </xf>
    <xf numFmtId="0" fontId="19" fillId="17" borderId="31" xfId="0" applyFont="1" applyFill="1" applyBorder="1" applyAlignment="1" applyProtection="1">
      <alignment horizontal="left" vertical="center" wrapText="1" indent="1"/>
      <protection locked="0"/>
    </xf>
    <xf numFmtId="0" fontId="19" fillId="17" borderId="36" xfId="0" applyFont="1" applyFill="1" applyBorder="1" applyAlignment="1" applyProtection="1">
      <alignment horizontal="left" vertical="center" wrapText="1" indent="1"/>
      <protection locked="0"/>
    </xf>
    <xf numFmtId="0" fontId="23" fillId="17" borderId="7" xfId="0" applyFont="1" applyFill="1" applyBorder="1" applyAlignment="1" applyProtection="1">
      <alignment horizontal="left" vertical="center" wrapText="1" indent="1"/>
      <protection locked="0"/>
    </xf>
    <xf numFmtId="0" fontId="23" fillId="17" borderId="25" xfId="0" applyFont="1" applyFill="1" applyBorder="1" applyAlignment="1" applyProtection="1">
      <alignment horizontal="left" vertical="center" wrapText="1" indent="1"/>
      <protection locked="0"/>
    </xf>
    <xf numFmtId="0" fontId="19" fillId="10" borderId="0" xfId="0" applyFont="1" applyFill="1" applyAlignment="1" applyProtection="1">
      <alignment horizontal="right" vertical="center"/>
      <protection locked="0"/>
    </xf>
    <xf numFmtId="0" fontId="29" fillId="0" borderId="0" xfId="0" applyFont="1" applyAlignment="1">
      <alignment horizontal="left" vertical="center" wrapText="1"/>
    </xf>
    <xf numFmtId="0" fontId="1" fillId="0" borderId="0" xfId="0" applyFont="1" applyAlignment="1">
      <alignment horizontal="left" vertical="center" wrapText="1"/>
    </xf>
    <xf numFmtId="0" fontId="7" fillId="11" borderId="0" xfId="0" applyFont="1" applyFill="1" applyAlignment="1" applyProtection="1">
      <alignment horizontal="center" vertical="center" wrapText="1"/>
      <protection locked="0"/>
    </xf>
    <xf numFmtId="176" fontId="18" fillId="14" borderId="3" xfId="0" applyNumberFormat="1" applyFont="1" applyFill="1" applyBorder="1" applyAlignment="1" applyProtection="1">
      <alignment horizontal="center" vertical="center" wrapText="1"/>
      <protection locked="0"/>
    </xf>
    <xf numFmtId="0" fontId="19" fillId="14" borderId="31" xfId="0" applyFont="1" applyFill="1" applyBorder="1" applyAlignment="1" applyProtection="1">
      <alignment horizontal="left" vertical="center" wrapText="1" indent="1"/>
      <protection locked="0"/>
    </xf>
    <xf numFmtId="176" fontId="78" fillId="17" borderId="3" xfId="0" applyNumberFormat="1" applyFont="1" applyFill="1" applyBorder="1" applyAlignment="1" applyProtection="1">
      <alignment horizontal="center" vertical="center" wrapText="1"/>
      <protection locked="0"/>
    </xf>
    <xf numFmtId="0" fontId="43" fillId="17" borderId="3" xfId="0" applyFont="1" applyFill="1" applyBorder="1" applyAlignment="1" applyProtection="1">
      <alignment horizontal="left" vertical="center" wrapText="1" indent="1"/>
      <protection locked="0"/>
    </xf>
    <xf numFmtId="0" fontId="43" fillId="17" borderId="7" xfId="0" applyFont="1" applyFill="1" applyBorder="1" applyAlignment="1" applyProtection="1">
      <alignment horizontal="left" vertical="center" wrapText="1" indent="1"/>
      <protection locked="0"/>
    </xf>
    <xf numFmtId="0" fontId="79" fillId="17" borderId="31" xfId="0" applyFont="1" applyFill="1" applyBorder="1" applyAlignment="1" applyProtection="1">
      <alignment horizontal="left" vertical="center" wrapText="1"/>
      <protection locked="0"/>
    </xf>
    <xf numFmtId="176" fontId="18" fillId="18" borderId="3" xfId="0" applyNumberFormat="1" applyFont="1" applyFill="1" applyBorder="1" applyAlignment="1" applyProtection="1">
      <alignment horizontal="center" vertical="center" wrapText="1" shrinkToFit="1"/>
      <protection locked="0"/>
    </xf>
    <xf numFmtId="178" fontId="18" fillId="17" borderId="3" xfId="0" applyNumberFormat="1" applyFont="1" applyFill="1" applyBorder="1" applyAlignment="1" applyProtection="1">
      <alignment horizontal="center" vertical="center" wrapText="1" shrinkToFit="1"/>
      <protection locked="0"/>
    </xf>
    <xf numFmtId="176" fontId="78" fillId="17" borderId="9" xfId="0" applyNumberFormat="1" applyFont="1" applyFill="1" applyBorder="1" applyAlignment="1" applyProtection="1">
      <alignment horizontal="center" vertical="center" wrapText="1"/>
      <protection locked="0"/>
    </xf>
    <xf numFmtId="0" fontId="43" fillId="17" borderId="9" xfId="0" applyFont="1" applyFill="1" applyBorder="1" applyAlignment="1" applyProtection="1">
      <alignment horizontal="left" vertical="center" wrapText="1" indent="1"/>
      <protection locked="0"/>
    </xf>
    <xf numFmtId="0" fontId="43" fillId="17" borderId="25" xfId="0" applyFont="1" applyFill="1" applyBorder="1" applyAlignment="1" applyProtection="1">
      <alignment horizontal="left" vertical="center" wrapText="1" indent="1"/>
      <protection locked="0"/>
    </xf>
    <xf numFmtId="0" fontId="74" fillId="17" borderId="7" xfId="0" applyFont="1" applyFill="1" applyBorder="1" applyAlignment="1" applyProtection="1">
      <alignment horizontal="left" vertical="center" wrapText="1"/>
      <protection locked="0"/>
    </xf>
    <xf numFmtId="176" fontId="18" fillId="17" borderId="3" xfId="0" applyNumberFormat="1" applyFont="1" applyFill="1" applyBorder="1" applyAlignment="1" applyProtection="1">
      <alignment horizontal="center" vertical="center" wrapText="1"/>
      <protection locked="0"/>
    </xf>
    <xf numFmtId="0" fontId="80" fillId="17" borderId="3" xfId="0" applyFont="1" applyFill="1" applyBorder="1" applyAlignment="1" applyProtection="1">
      <alignment horizontal="left" vertical="center" wrapText="1" indent="1"/>
      <protection locked="0"/>
    </xf>
    <xf numFmtId="0" fontId="80" fillId="17" borderId="31" xfId="0" applyFont="1" applyFill="1" applyBorder="1" applyAlignment="1" applyProtection="1">
      <alignment horizontal="left" vertical="center" wrapText="1" indent="1"/>
      <protection locked="0"/>
    </xf>
    <xf numFmtId="0" fontId="81" fillId="17" borderId="3" xfId="0" applyFont="1" applyFill="1" applyBorder="1" applyAlignment="1" applyProtection="1">
      <alignment horizontal="left" vertical="center" wrapText="1" indent="1"/>
      <protection locked="0"/>
    </xf>
    <xf numFmtId="0" fontId="81" fillId="17" borderId="31" xfId="0" applyFont="1" applyFill="1" applyBorder="1" applyAlignment="1" applyProtection="1">
      <alignment horizontal="left" vertical="center" wrapText="1" indent="1"/>
      <protection locked="0"/>
    </xf>
    <xf numFmtId="0" fontId="80" fillId="17" borderId="7" xfId="0" applyFont="1" applyFill="1" applyBorder="1" applyAlignment="1" applyProtection="1">
      <alignment horizontal="left" vertical="center" wrapText="1"/>
      <protection locked="0"/>
    </xf>
    <xf numFmtId="0" fontId="9" fillId="7" borderId="31" xfId="0" applyFont="1" applyFill="1" applyBorder="1" applyAlignment="1" applyProtection="1">
      <alignment horizontal="left" vertical="center" wrapText="1" indent="1"/>
      <protection locked="0"/>
    </xf>
    <xf numFmtId="176" fontId="68" fillId="7" borderId="3" xfId="0" applyNumberFormat="1" applyFont="1" applyFill="1" applyBorder="1" applyAlignment="1" applyProtection="1">
      <alignment horizontal="center" vertical="center" wrapText="1"/>
      <protection locked="0"/>
    </xf>
    <xf numFmtId="0" fontId="24" fillId="7" borderId="3" xfId="0" applyFont="1" applyFill="1" applyBorder="1" applyAlignment="1" applyProtection="1">
      <alignment horizontal="left" vertical="center" wrapText="1" indent="1"/>
      <protection locked="0"/>
    </xf>
    <xf numFmtId="0" fontId="4" fillId="0" borderId="0" xfId="0" applyFont="1" applyAlignment="1">
      <alignment horizontal="left" vertical="center" wrapText="1"/>
    </xf>
    <xf numFmtId="176" fontId="18" fillId="17" borderId="9" xfId="0" applyNumberFormat="1" applyFont="1" applyFill="1" applyBorder="1" applyAlignment="1" applyProtection="1">
      <alignment horizontal="center" vertical="center" wrapText="1"/>
      <protection locked="0"/>
    </xf>
    <xf numFmtId="0" fontId="80" fillId="17" borderId="9" xfId="0" applyFont="1" applyFill="1" applyBorder="1" applyAlignment="1" applyProtection="1">
      <alignment horizontal="left" vertical="center" wrapText="1" indent="1"/>
      <protection locked="0"/>
    </xf>
    <xf numFmtId="0" fontId="80" fillId="17" borderId="36" xfId="0" applyFont="1" applyFill="1" applyBorder="1" applyAlignment="1" applyProtection="1">
      <alignment horizontal="left" vertical="center" wrapText="1" indent="1"/>
      <protection locked="0"/>
    </xf>
    <xf numFmtId="0" fontId="81" fillId="17" borderId="9" xfId="0" applyFont="1" applyFill="1" applyBorder="1" applyAlignment="1" applyProtection="1">
      <alignment horizontal="left" vertical="center" wrapText="1" indent="1"/>
      <protection locked="0"/>
    </xf>
    <xf numFmtId="0" fontId="81" fillId="17" borderId="36" xfId="0" applyFont="1" applyFill="1" applyBorder="1" applyAlignment="1" applyProtection="1">
      <alignment horizontal="left" vertical="center" wrapText="1" indent="1"/>
      <protection locked="0"/>
    </xf>
    <xf numFmtId="176" fontId="8" fillId="7" borderId="9" xfId="0" applyNumberFormat="1" applyFont="1" applyFill="1" applyBorder="1" applyAlignment="1" applyProtection="1">
      <alignment horizontal="center" vertical="center" wrapText="1"/>
      <protection locked="0"/>
    </xf>
    <xf numFmtId="0" fontId="9" fillId="7" borderId="9" xfId="0" applyFont="1" applyFill="1" applyBorder="1" applyAlignment="1" applyProtection="1">
      <alignment horizontal="left" vertical="center" wrapText="1" indent="1"/>
      <protection locked="0"/>
    </xf>
    <xf numFmtId="0" fontId="9" fillId="7" borderId="36" xfId="0" applyFont="1" applyFill="1" applyBorder="1" applyAlignment="1" applyProtection="1">
      <alignment horizontal="left" vertical="center" wrapText="1" indent="1"/>
      <protection locked="0"/>
    </xf>
    <xf numFmtId="176" fontId="78" fillId="14" borderId="3" xfId="0" applyNumberFormat="1" applyFont="1" applyFill="1" applyBorder="1" applyAlignment="1" applyProtection="1">
      <alignment horizontal="center" vertical="center" wrapText="1"/>
      <protection locked="0"/>
    </xf>
    <xf numFmtId="0" fontId="43" fillId="14" borderId="3" xfId="0" applyFont="1" applyFill="1" applyBorder="1" applyAlignment="1" applyProtection="1">
      <alignment horizontal="left" vertical="center" wrapText="1" indent="1"/>
      <protection locked="0"/>
    </xf>
    <xf numFmtId="0" fontId="43" fillId="14" borderId="31" xfId="0" applyFont="1" applyFill="1" applyBorder="1" applyAlignment="1" applyProtection="1">
      <alignment horizontal="left" vertical="center" wrapText="1" indent="1"/>
      <protection locked="0"/>
    </xf>
    <xf numFmtId="0" fontId="82" fillId="11" borderId="0" xfId="0" applyFont="1" applyFill="1" applyAlignment="1" applyProtection="1">
      <alignment horizontal="left" vertical="center" wrapText="1"/>
      <protection locked="0"/>
    </xf>
    <xf numFmtId="0" fontId="83" fillId="11" borderId="0" xfId="0" applyFont="1" applyFill="1" applyAlignment="1" applyProtection="1">
      <alignment horizontal="left" vertical="center"/>
      <protection locked="0"/>
    </xf>
    <xf numFmtId="0" fontId="23" fillId="14" borderId="31" xfId="0" applyFont="1" applyFill="1" applyBorder="1" applyAlignment="1" applyProtection="1">
      <alignment horizontal="left" vertical="center" wrapText="1" indent="1"/>
      <protection locked="0"/>
    </xf>
    <xf numFmtId="0" fontId="79" fillId="14" borderId="3" xfId="0" applyFont="1" applyFill="1" applyBorder="1" applyAlignment="1" applyProtection="1">
      <alignment horizontal="left" vertical="center" wrapText="1" indent="1"/>
      <protection locked="0"/>
    </xf>
    <xf numFmtId="0" fontId="79" fillId="14" borderId="31" xfId="0" applyFont="1" applyFill="1" applyBorder="1" applyAlignment="1" applyProtection="1">
      <alignment horizontal="left" vertical="center" wrapText="1" indent="1"/>
      <protection locked="0"/>
    </xf>
    <xf numFmtId="0" fontId="79" fillId="17" borderId="3" xfId="0" applyFont="1" applyFill="1" applyBorder="1" applyAlignment="1" applyProtection="1">
      <alignment horizontal="left" vertical="center" wrapText="1" indent="1"/>
      <protection locked="0"/>
    </xf>
    <xf numFmtId="0" fontId="79" fillId="17" borderId="7" xfId="0" applyFont="1" applyFill="1" applyBorder="1" applyAlignment="1" applyProtection="1">
      <alignment horizontal="left" vertical="center" wrapText="1" indent="1"/>
      <protection locked="0"/>
    </xf>
    <xf numFmtId="0" fontId="79" fillId="17" borderId="9" xfId="0" applyFont="1" applyFill="1" applyBorder="1" applyAlignment="1" applyProtection="1">
      <alignment horizontal="left" vertical="center" wrapText="1" indent="1"/>
      <protection locked="0"/>
    </xf>
    <xf numFmtId="0" fontId="79" fillId="17" borderId="25" xfId="0" applyFont="1" applyFill="1" applyBorder="1" applyAlignment="1" applyProtection="1">
      <alignment horizontal="left" vertical="center" wrapText="1" indent="1"/>
      <protection locked="0"/>
    </xf>
    <xf numFmtId="0" fontId="84" fillId="17" borderId="31" xfId="0" applyFont="1" applyFill="1" applyBorder="1" applyAlignment="1" applyProtection="1">
      <alignment horizontal="left" vertical="center" wrapText="1"/>
      <protection locked="0"/>
    </xf>
    <xf numFmtId="0" fontId="43" fillId="17" borderId="31" xfId="0" applyFont="1" applyFill="1" applyBorder="1" applyAlignment="1" applyProtection="1">
      <alignment horizontal="left" vertical="center" wrapText="1"/>
      <protection locked="0"/>
    </xf>
    <xf numFmtId="0" fontId="26" fillId="17" borderId="31" xfId="0" applyFont="1" applyFill="1" applyBorder="1" applyAlignment="1" applyProtection="1">
      <alignment horizontal="left" vertical="center" wrapText="1"/>
      <protection locked="0"/>
    </xf>
    <xf numFmtId="0" fontId="63" fillId="17" borderId="7" xfId="0" applyFont="1" applyFill="1" applyBorder="1" applyAlignment="1" applyProtection="1">
      <alignment horizontal="left" vertical="center" wrapText="1"/>
      <protection locked="0"/>
    </xf>
    <xf numFmtId="0" fontId="79" fillId="17" borderId="7" xfId="0" applyFont="1" applyFill="1" applyBorder="1" applyAlignment="1" applyProtection="1">
      <alignment horizontal="left" vertical="center" wrapText="1"/>
      <protection locked="0"/>
    </xf>
    <xf numFmtId="0" fontId="80" fillId="17" borderId="31" xfId="0" applyFont="1" applyFill="1" applyBorder="1" applyAlignment="1" applyProtection="1">
      <alignment horizontal="left" vertical="center" wrapText="1"/>
      <protection locked="0"/>
    </xf>
    <xf numFmtId="176" fontId="33" fillId="7" borderId="3" xfId="0" applyNumberFormat="1" applyFont="1" applyFill="1" applyBorder="1" applyAlignment="1" applyProtection="1">
      <alignment horizontal="center" vertical="center" wrapText="1"/>
      <protection locked="0"/>
    </xf>
    <xf numFmtId="0" fontId="20" fillId="7" borderId="3" xfId="0" applyFont="1" applyFill="1" applyBorder="1" applyAlignment="1" applyProtection="1">
      <alignment horizontal="left" vertical="center" wrapText="1" indent="1"/>
      <protection locked="0"/>
    </xf>
    <xf numFmtId="0" fontId="85" fillId="17" borderId="3" xfId="0" applyFont="1" applyFill="1" applyBorder="1" applyAlignment="1" applyProtection="1">
      <alignment horizontal="left" vertical="center" wrapText="1" indent="1"/>
      <protection locked="0"/>
    </xf>
    <xf numFmtId="0" fontId="85" fillId="17" borderId="9" xfId="0" applyFont="1" applyFill="1" applyBorder="1" applyAlignment="1" applyProtection="1">
      <alignment horizontal="left" vertical="center" wrapText="1" indent="1"/>
      <protection locked="0"/>
    </xf>
    <xf numFmtId="0" fontId="85" fillId="17" borderId="31" xfId="0" applyFont="1" applyFill="1" applyBorder="1" applyAlignment="1" applyProtection="1">
      <alignment horizontal="left" vertical="center" wrapText="1" indent="1"/>
      <protection locked="0"/>
    </xf>
    <xf numFmtId="0" fontId="85" fillId="17" borderId="36" xfId="0" applyFont="1" applyFill="1" applyBorder="1" applyAlignment="1" applyProtection="1">
      <alignment horizontal="left" vertical="center" wrapText="1" indent="1"/>
      <protection locked="0"/>
    </xf>
    <xf numFmtId="0" fontId="86" fillId="14" borderId="3" xfId="0" applyFont="1" applyFill="1" applyBorder="1" applyAlignment="1" applyProtection="1">
      <alignment horizontal="left" vertical="center" wrapText="1" indent="1"/>
      <protection locked="0"/>
    </xf>
    <xf numFmtId="0" fontId="86" fillId="14" borderId="31" xfId="0" applyFont="1" applyFill="1" applyBorder="1" applyAlignment="1" applyProtection="1">
      <alignment horizontal="left" vertical="center" wrapText="1" indent="1"/>
      <protection locked="0"/>
    </xf>
    <xf numFmtId="0" fontId="59" fillId="17" borderId="31" xfId="0" applyFont="1" applyFill="1" applyBorder="1" applyAlignment="1" applyProtection="1">
      <alignment horizontal="left" vertical="center" wrapText="1"/>
      <protection locked="0"/>
    </xf>
    <xf numFmtId="0" fontId="87" fillId="17" borderId="31" xfId="0" applyFont="1" applyFill="1" applyBorder="1" applyAlignment="1" applyProtection="1">
      <alignment horizontal="left" vertical="center" wrapText="1"/>
      <protection locked="0"/>
    </xf>
    <xf numFmtId="0" fontId="88" fillId="17" borderId="31" xfId="0" applyFont="1" applyFill="1" applyBorder="1" applyAlignment="1" applyProtection="1">
      <alignment horizontal="left" vertical="center" wrapText="1"/>
      <protection locked="0"/>
    </xf>
    <xf numFmtId="0" fontId="89" fillId="17" borderId="31" xfId="0" applyFont="1" applyFill="1" applyBorder="1" applyAlignment="1" applyProtection="1">
      <alignment horizontal="left" vertical="center" wrapText="1"/>
      <protection locked="0"/>
    </xf>
    <xf numFmtId="0" fontId="90" fillId="17" borderId="7" xfId="0" applyFont="1" applyFill="1" applyBorder="1" applyAlignment="1" applyProtection="1">
      <alignment horizontal="left" vertical="center" wrapText="1"/>
      <protection locked="0"/>
    </xf>
    <xf numFmtId="0" fontId="57" fillId="17" borderId="3" xfId="0" applyFont="1" applyFill="1" applyBorder="1" applyAlignment="1" applyProtection="1">
      <alignment horizontal="left" vertical="center" wrapText="1" indent="1"/>
      <protection locked="0"/>
    </xf>
    <xf numFmtId="0" fontId="57" fillId="17" borderId="9" xfId="0" applyFont="1" applyFill="1" applyBorder="1" applyAlignment="1" applyProtection="1">
      <alignment horizontal="left" vertical="center" wrapText="1" indent="1"/>
      <protection locked="0"/>
    </xf>
    <xf numFmtId="0" fontId="57" fillId="17" borderId="31" xfId="0" applyFont="1" applyFill="1" applyBorder="1" applyAlignment="1" applyProtection="1">
      <alignment horizontal="left" vertical="center" wrapText="1" indent="1"/>
      <protection locked="0"/>
    </xf>
    <xf numFmtId="0" fontId="57" fillId="17" borderId="36" xfId="0" applyFont="1" applyFill="1" applyBorder="1" applyAlignment="1" applyProtection="1">
      <alignment horizontal="left" vertical="center" wrapText="1" indent="1"/>
      <protection locked="0"/>
    </xf>
    <xf numFmtId="0" fontId="0" fillId="10" borderId="52" xfId="0" applyFill="1" applyBorder="1" applyAlignment="1" applyProtection="1">
      <alignment horizontal="right" vertical="center"/>
      <protection locked="0"/>
    </xf>
    <xf numFmtId="0" fontId="27" fillId="10" borderId="53" xfId="0" applyFont="1" applyFill="1" applyBorder="1" applyAlignment="1" applyProtection="1">
      <alignment horizontal="right"/>
      <protection locked="0"/>
    </xf>
    <xf numFmtId="0" fontId="60" fillId="10" borderId="53" xfId="0" applyFont="1" applyFill="1" applyBorder="1" applyAlignment="1" applyProtection="1">
      <alignment horizontal="left" wrapText="1"/>
      <protection locked="0"/>
    </xf>
    <xf numFmtId="0" fontId="60" fillId="10" borderId="53" xfId="0" applyFont="1" applyFill="1" applyBorder="1" applyAlignment="1" applyProtection="1">
      <alignment horizontal="left"/>
      <protection locked="0"/>
    </xf>
    <xf numFmtId="0" fontId="4" fillId="0" borderId="53" xfId="0" applyFont="1" applyBorder="1" applyAlignment="1">
      <alignment horizontal="center" vertical="center" wrapText="1"/>
    </xf>
    <xf numFmtId="0" fontId="1" fillId="0" borderId="53" xfId="0" applyFont="1" applyBorder="1">
      <alignment vertical="center"/>
    </xf>
    <xf numFmtId="0" fontId="1" fillId="11" borderId="60" xfId="0" applyFont="1" applyFill="1" applyBorder="1">
      <alignment vertical="center"/>
    </xf>
    <xf numFmtId="0" fontId="1" fillId="11" borderId="60" xfId="0" applyFont="1" applyFill="1" applyBorder="1" applyAlignment="1" applyProtection="1">
      <alignment horizontal="center" vertical="center"/>
      <protection locked="0"/>
    </xf>
    <xf numFmtId="0" fontId="34" fillId="11" borderId="60" xfId="0" applyFont="1" applyFill="1" applyBorder="1" applyAlignment="1">
      <alignment horizontal="center" vertical="center" wrapText="1"/>
    </xf>
    <xf numFmtId="0" fontId="1" fillId="15" borderId="60" xfId="0" applyFont="1" applyFill="1" applyBorder="1">
      <alignment vertical="center"/>
    </xf>
    <xf numFmtId="0" fontId="37" fillId="14" borderId="60" xfId="0" applyFont="1" applyFill="1" applyBorder="1" applyAlignment="1">
      <alignment horizontal="center" vertical="center" wrapText="1"/>
    </xf>
    <xf numFmtId="176" fontId="91" fillId="14" borderId="3" xfId="0" applyNumberFormat="1" applyFont="1" applyFill="1" applyBorder="1" applyAlignment="1" applyProtection="1">
      <alignment horizontal="center" vertical="center" wrapText="1"/>
      <protection locked="0"/>
    </xf>
    <xf numFmtId="0" fontId="37" fillId="14" borderId="60" xfId="0" applyFont="1" applyFill="1" applyBorder="1" applyAlignment="1">
      <alignment horizontal="center" vertical="center"/>
    </xf>
    <xf numFmtId="0" fontId="74" fillId="14" borderId="3" xfId="0" applyFont="1" applyFill="1" applyBorder="1" applyAlignment="1" applyProtection="1">
      <alignment horizontal="left" vertical="center" wrapText="1" indent="1"/>
      <protection locked="0"/>
    </xf>
    <xf numFmtId="0" fontId="74" fillId="14" borderId="31" xfId="0" applyFont="1" applyFill="1" applyBorder="1" applyAlignment="1" applyProtection="1">
      <alignment horizontal="left" vertical="center" wrapText="1" indent="1"/>
      <protection locked="0"/>
    </xf>
    <xf numFmtId="0" fontId="1" fillId="16" borderId="60" xfId="0" applyFont="1" applyFill="1" applyBorder="1">
      <alignment vertical="center"/>
    </xf>
    <xf numFmtId="0" fontId="39" fillId="11" borderId="60" xfId="0" applyFont="1" applyFill="1" applyBorder="1" applyAlignment="1">
      <alignment horizontal="center" vertical="center" wrapText="1"/>
    </xf>
    <xf numFmtId="0" fontId="39" fillId="11" borderId="55" xfId="0" applyFont="1" applyFill="1" applyBorder="1" applyAlignment="1">
      <alignment horizontal="center" vertical="center" wrapText="1"/>
    </xf>
    <xf numFmtId="0" fontId="30" fillId="12" borderId="61" xfId="0" applyFont="1" applyFill="1" applyBorder="1" applyAlignment="1">
      <alignment horizontal="center" vertical="center" wrapText="1"/>
    </xf>
    <xf numFmtId="0" fontId="80" fillId="17" borderId="7" xfId="0" applyFont="1" applyFill="1" applyBorder="1" applyAlignment="1" applyProtection="1">
      <alignment horizontal="left" vertical="center" wrapText="1" indent="1"/>
      <protection locked="0"/>
    </xf>
    <xf numFmtId="0" fontId="92" fillId="17" borderId="7" xfId="0" applyFont="1" applyFill="1" applyBorder="1" applyAlignment="1" applyProtection="1">
      <alignment horizontal="left" vertical="center" wrapText="1"/>
      <protection locked="0"/>
    </xf>
    <xf numFmtId="0" fontId="84" fillId="17" borderId="7" xfId="0" applyFont="1" applyFill="1" applyBorder="1" applyAlignment="1" applyProtection="1">
      <alignment horizontal="left" vertical="center" wrapText="1"/>
      <protection locked="0"/>
    </xf>
    <xf numFmtId="0" fontId="58" fillId="17" borderId="7" xfId="0" applyFont="1" applyFill="1" applyBorder="1" applyAlignment="1" applyProtection="1">
      <alignment horizontal="left" vertical="center" wrapText="1"/>
      <protection locked="0"/>
    </xf>
    <xf numFmtId="0" fontId="22" fillId="17" borderId="7" xfId="0" applyFont="1" applyFill="1" applyBorder="1" applyAlignment="1" applyProtection="1">
      <alignment horizontal="left" vertical="center" wrapText="1"/>
      <protection locked="0"/>
    </xf>
    <xf numFmtId="0" fontId="4" fillId="0" borderId="53" xfId="0" applyFont="1" applyBorder="1" applyAlignment="1">
      <alignment horizontal="right" vertical="center" wrapText="1"/>
    </xf>
    <xf numFmtId="0" fontId="4" fillId="0" borderId="58" xfId="0" applyFont="1" applyBorder="1" applyAlignment="1">
      <alignment horizontal="right" vertical="center" wrapText="1"/>
    </xf>
    <xf numFmtId="0" fontId="1" fillId="0" borderId="62" xfId="0" applyFont="1" applyBorder="1">
      <alignment vertical="center"/>
    </xf>
    <xf numFmtId="0" fontId="9" fillId="17" borderId="7" xfId="0" applyFont="1" applyFill="1" applyBorder="1" applyAlignment="1" applyProtection="1">
      <alignment horizontal="left" vertical="center" wrapText="1" indent="1"/>
      <protection locked="0"/>
    </xf>
    <xf numFmtId="0" fontId="9" fillId="17" borderId="25" xfId="0" applyFont="1" applyFill="1" applyBorder="1" applyAlignment="1" applyProtection="1">
      <alignment horizontal="left" vertical="center" wrapText="1" indent="1"/>
      <protection locked="0"/>
    </xf>
    <xf numFmtId="176" fontId="93" fillId="14" borderId="3" xfId="0" applyNumberFormat="1" applyFont="1" applyFill="1" applyBorder="1" applyAlignment="1" applyProtection="1">
      <alignment horizontal="center" vertical="center" wrapText="1"/>
      <protection locked="0"/>
    </xf>
    <xf numFmtId="0" fontId="58" fillId="14" borderId="3" xfId="0" applyFont="1" applyFill="1" applyBorder="1" applyAlignment="1" applyProtection="1">
      <alignment horizontal="left" vertical="center" wrapText="1" indent="1"/>
      <protection locked="0"/>
    </xf>
    <xf numFmtId="0" fontId="58" fillId="14" borderId="31" xfId="0" applyFont="1" applyFill="1" applyBorder="1" applyAlignment="1" applyProtection="1">
      <alignment horizontal="left" vertical="center" wrapText="1" indent="1"/>
      <protection locked="0"/>
    </xf>
    <xf numFmtId="0" fontId="53" fillId="14" borderId="3" xfId="0" applyFont="1" applyFill="1" applyBorder="1" applyAlignment="1" applyProtection="1">
      <alignment horizontal="left" vertical="center" wrapText="1" indent="1"/>
      <protection locked="0"/>
    </xf>
    <xf numFmtId="0" fontId="53" fillId="14" borderId="31" xfId="0" applyFont="1" applyFill="1" applyBorder="1" applyAlignment="1" applyProtection="1">
      <alignment horizontal="left" vertical="center" wrapText="1" indent="1"/>
      <protection locked="0"/>
    </xf>
    <xf numFmtId="0" fontId="53" fillId="17" borderId="3" xfId="0" applyFont="1" applyFill="1" applyBorder="1" applyAlignment="1" applyProtection="1">
      <alignment horizontal="left" vertical="center" wrapText="1" indent="1"/>
      <protection locked="0"/>
    </xf>
    <xf numFmtId="0" fontId="36" fillId="11" borderId="5" xfId="0" applyFont="1" applyFill="1" applyBorder="1" applyAlignment="1" applyProtection="1">
      <alignment horizontal="center" vertical="center" wrapText="1"/>
      <protection locked="0"/>
    </xf>
    <xf numFmtId="0" fontId="53" fillId="17" borderId="7" xfId="0" applyFont="1" applyFill="1" applyBorder="1" applyAlignment="1" applyProtection="1">
      <alignment horizontal="left" vertical="center" wrapText="1" indent="1"/>
      <protection locked="0"/>
    </xf>
    <xf numFmtId="176" fontId="93" fillId="17" borderId="3" xfId="0" applyNumberFormat="1" applyFont="1" applyFill="1" applyBorder="1" applyAlignment="1" applyProtection="1">
      <alignment horizontal="center" vertical="center" wrapText="1"/>
      <protection locked="0"/>
    </xf>
    <xf numFmtId="176" fontId="93" fillId="17" borderId="9" xfId="0" applyNumberFormat="1" applyFont="1" applyFill="1" applyBorder="1" applyAlignment="1" applyProtection="1">
      <alignment horizontal="center" vertical="center" wrapText="1"/>
      <protection locked="0"/>
    </xf>
    <xf numFmtId="0" fontId="58" fillId="17" borderId="3" xfId="0" applyFont="1" applyFill="1" applyBorder="1" applyAlignment="1" applyProtection="1">
      <alignment horizontal="left" vertical="center" wrapText="1" indent="1"/>
      <protection locked="0"/>
    </xf>
    <xf numFmtId="0" fontId="58" fillId="17" borderId="9" xfId="0" applyFont="1" applyFill="1" applyBorder="1" applyAlignment="1" applyProtection="1">
      <alignment horizontal="left" vertical="center" wrapText="1" indent="1"/>
      <protection locked="0"/>
    </xf>
    <xf numFmtId="0" fontId="58" fillId="17" borderId="31" xfId="0" applyFont="1" applyFill="1" applyBorder="1" applyAlignment="1" applyProtection="1">
      <alignment horizontal="left" vertical="center" wrapText="1" indent="1"/>
      <protection locked="0"/>
    </xf>
    <xf numFmtId="0" fontId="58" fillId="17" borderId="36" xfId="0" applyFont="1" applyFill="1" applyBorder="1" applyAlignment="1" applyProtection="1">
      <alignment horizontal="left" vertical="center" wrapText="1" indent="1"/>
      <protection locked="0"/>
    </xf>
    <xf numFmtId="0" fontId="58" fillId="17" borderId="7" xfId="0" applyFont="1" applyFill="1" applyBorder="1" applyAlignment="1" applyProtection="1">
      <alignment horizontal="left" vertical="center" wrapText="1" indent="1"/>
      <protection locked="0"/>
    </xf>
    <xf numFmtId="0" fontId="58" fillId="17" borderId="25" xfId="0" applyFont="1" applyFill="1" applyBorder="1" applyAlignment="1" applyProtection="1">
      <alignment horizontal="left" vertical="center" wrapText="1" indent="1"/>
      <protection locked="0"/>
    </xf>
    <xf numFmtId="0" fontId="0" fillId="0" borderId="0" xfId="0" applyAlignment="1">
      <alignment vertical="center" wrapText="1"/>
    </xf>
    <xf numFmtId="0" fontId="0" fillId="10" borderId="0" xfId="0" applyFill="1" applyAlignment="1">
      <alignment vertical="center"/>
    </xf>
    <xf numFmtId="0" fontId="27" fillId="10" borderId="0" xfId="0" applyFont="1" applyFill="1" applyAlignment="1">
      <alignment horizontal="right" vertical="center"/>
    </xf>
    <xf numFmtId="0" fontId="94" fillId="10" borderId="0" xfId="0" applyFont="1" applyFill="1" applyAlignment="1">
      <alignment horizontal="left"/>
    </xf>
    <xf numFmtId="0" fontId="0" fillId="11" borderId="26" xfId="0" applyFill="1" applyBorder="1">
      <alignment vertical="center"/>
    </xf>
    <xf numFmtId="0" fontId="0" fillId="11" borderId="34" xfId="0" applyFill="1" applyBorder="1">
      <alignment vertical="center"/>
    </xf>
    <xf numFmtId="0" fontId="30" fillId="12" borderId="63" xfId="0" applyFont="1" applyFill="1" applyBorder="1" applyAlignment="1">
      <alignment horizontal="center" vertical="center" wrapText="1"/>
    </xf>
    <xf numFmtId="0" fontId="0" fillId="0" borderId="64" xfId="0" applyBorder="1">
      <alignment vertical="center"/>
    </xf>
    <xf numFmtId="0" fontId="31" fillId="13" borderId="64" xfId="0" applyFont="1" applyFill="1" applyBorder="1" applyAlignment="1">
      <alignment horizontal="center" vertical="center" wrapText="1"/>
    </xf>
    <xf numFmtId="0" fontId="95" fillId="11" borderId="28" xfId="0" applyFont="1" applyFill="1" applyBorder="1" applyAlignment="1">
      <alignment horizontal="center" vertical="center"/>
    </xf>
    <xf numFmtId="0" fontId="95" fillId="11" borderId="0" xfId="0" applyFont="1" applyFill="1" applyAlignment="1">
      <alignment horizontal="center" vertical="center"/>
    </xf>
    <xf numFmtId="0" fontId="96" fillId="11" borderId="0" xfId="0" applyFont="1" applyFill="1" applyAlignment="1">
      <alignment horizontal="center" vertical="center" wrapText="1"/>
    </xf>
    <xf numFmtId="0" fontId="30" fillId="12" borderId="65" xfId="0" applyFont="1" applyFill="1" applyBorder="1" applyAlignment="1">
      <alignment horizontal="center" vertical="center" wrapText="1"/>
    </xf>
    <xf numFmtId="0" fontId="97" fillId="0" borderId="66" xfId="0" applyFont="1" applyBorder="1" applyAlignment="1">
      <alignment horizontal="justify" vertical="center" wrapText="1"/>
    </xf>
    <xf numFmtId="0" fontId="52" fillId="14" borderId="66" xfId="0" applyFont="1" applyFill="1" applyBorder="1" applyAlignment="1">
      <alignment vertical="center" wrapText="1"/>
    </xf>
    <xf numFmtId="0" fontId="52" fillId="17" borderId="66" xfId="0" applyFont="1" applyFill="1" applyBorder="1" applyAlignment="1">
      <alignment vertical="center" wrapText="1"/>
    </xf>
    <xf numFmtId="0" fontId="98" fillId="11" borderId="67" xfId="0" applyFont="1" applyFill="1" applyBorder="1" applyAlignment="1">
      <alignment horizontal="center" vertical="center" wrapText="1"/>
    </xf>
    <xf numFmtId="0" fontId="99" fillId="14" borderId="68" xfId="0" applyFont="1" applyFill="1" applyBorder="1" applyAlignment="1">
      <alignment horizontal="left" vertical="center" wrapText="1"/>
    </xf>
    <xf numFmtId="0" fontId="99" fillId="14" borderId="68" xfId="0" applyFont="1" applyFill="1" applyBorder="1" applyAlignment="1">
      <alignment horizontal="left" vertical="center"/>
    </xf>
    <xf numFmtId="0" fontId="98" fillId="11" borderId="69" xfId="0" applyFont="1" applyFill="1" applyBorder="1" applyAlignment="1">
      <alignment horizontal="center" vertical="center" wrapText="1"/>
    </xf>
    <xf numFmtId="0" fontId="30" fillId="12" borderId="70" xfId="0" applyFont="1" applyFill="1" applyBorder="1" applyAlignment="1">
      <alignment horizontal="center" vertical="center" wrapText="1"/>
    </xf>
    <xf numFmtId="0" fontId="0" fillId="0" borderId="71" xfId="0" applyBorder="1" applyAlignment="1">
      <alignment vertical="center" wrapText="1"/>
    </xf>
    <xf numFmtId="0" fontId="52" fillId="14" borderId="71" xfId="0" applyFont="1" applyFill="1" applyBorder="1" applyAlignment="1">
      <alignment vertical="center" wrapText="1"/>
    </xf>
    <xf numFmtId="0" fontId="52" fillId="17" borderId="71" xfId="0" applyFont="1" applyFill="1" applyBorder="1" applyAlignment="1">
      <alignment vertical="center" wrapText="1"/>
    </xf>
    <xf numFmtId="0" fontId="31" fillId="13" borderId="72" xfId="0" applyFont="1" applyFill="1" applyBorder="1" applyAlignment="1">
      <alignment horizontal="center" vertical="center" wrapText="1"/>
    </xf>
    <xf numFmtId="0" fontId="52" fillId="17" borderId="73" xfId="0" applyFont="1" applyFill="1" applyBorder="1" applyAlignment="1">
      <alignment vertical="center" wrapText="1"/>
    </xf>
    <xf numFmtId="0" fontId="52" fillId="17" borderId="74" xfId="0" applyFont="1" applyFill="1" applyBorder="1" applyAlignment="1">
      <alignment vertical="center" wrapText="1"/>
    </xf>
    <xf numFmtId="0" fontId="0" fillId="2" borderId="0" xfId="0" applyFill="1" applyProtection="1">
      <alignment vertical="center"/>
      <protection locked="0"/>
    </xf>
    <xf numFmtId="0" fontId="100" fillId="2" borderId="0" xfId="0" applyFont="1" applyFill="1" applyAlignment="1" applyProtection="1">
      <alignment horizontal="left" wrapText="1"/>
      <protection locked="0"/>
    </xf>
    <xf numFmtId="0" fontId="5" fillId="3" borderId="52" xfId="0" applyFont="1" applyFill="1" applyBorder="1" applyAlignment="1">
      <alignment horizontal="center" vertical="center" wrapText="1"/>
    </xf>
    <xf numFmtId="0" fontId="5" fillId="4" borderId="75"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22" fillId="6" borderId="3" xfId="0" applyFont="1" applyFill="1" applyBorder="1" applyAlignment="1" applyProtection="1">
      <alignment horizontal="left" vertical="center" wrapText="1" indent="1"/>
      <protection locked="0"/>
    </xf>
    <xf numFmtId="0" fontId="23" fillId="6" borderId="3" xfId="0" applyFont="1" applyFill="1" applyBorder="1" applyAlignment="1" applyProtection="1">
      <alignment horizontal="left" vertical="center" wrapText="1" indent="1"/>
      <protection locked="0"/>
    </xf>
    <xf numFmtId="0" fontId="5" fillId="4" borderId="60" xfId="0" applyFont="1" applyFill="1" applyBorder="1" applyAlignment="1">
      <alignment horizontal="center" vertical="center" wrapText="1"/>
    </xf>
    <xf numFmtId="0" fontId="5" fillId="4" borderId="76" xfId="0" applyFont="1" applyFill="1" applyBorder="1" applyAlignment="1">
      <alignment horizontal="center" vertical="center" wrapText="1"/>
    </xf>
    <xf numFmtId="176" fontId="18" fillId="6" borderId="3" xfId="0" applyNumberFormat="1" applyFont="1" applyFill="1" applyBorder="1" applyAlignment="1" applyProtection="1">
      <alignment horizontal="center" vertical="center" wrapText="1"/>
      <protection locked="0"/>
    </xf>
    <xf numFmtId="0" fontId="53" fillId="6" borderId="3" xfId="0" applyFont="1" applyFill="1" applyBorder="1" applyAlignment="1" applyProtection="1">
      <alignment horizontal="left" vertical="center" wrapText="1" indent="1"/>
      <protection locked="0"/>
    </xf>
    <xf numFmtId="0" fontId="5" fillId="4" borderId="55" xfId="0" applyFont="1" applyFill="1" applyBorder="1" applyAlignment="1">
      <alignment horizontal="center" vertical="center" wrapText="1"/>
    </xf>
    <xf numFmtId="176" fontId="18" fillId="7" borderId="3" xfId="0" applyNumberFormat="1" applyFont="1" applyFill="1" applyBorder="1" applyAlignment="1" applyProtection="1">
      <alignment horizontal="center" vertical="center" wrapText="1"/>
      <protection locked="0"/>
    </xf>
    <xf numFmtId="0" fontId="53" fillId="7" borderId="3" xfId="0" applyFont="1" applyFill="1" applyBorder="1" applyAlignment="1" applyProtection="1">
      <alignment horizontal="left" vertical="center" wrapText="1" indent="1"/>
      <protection locked="0"/>
    </xf>
    <xf numFmtId="0" fontId="5" fillId="3" borderId="53" xfId="0" applyFont="1" applyFill="1" applyBorder="1" applyAlignment="1">
      <alignment horizontal="center" vertical="center" wrapText="1"/>
    </xf>
    <xf numFmtId="0" fontId="0" fillId="7" borderId="3" xfId="0" applyFill="1" applyBorder="1" applyProtection="1">
      <alignment vertical="center"/>
      <protection locked="0"/>
    </xf>
    <xf numFmtId="0" fontId="5" fillId="5" borderId="31" xfId="0" applyFont="1" applyFill="1" applyBorder="1" applyAlignment="1">
      <alignment horizontal="center" vertical="center" wrapText="1"/>
    </xf>
    <xf numFmtId="0" fontId="23" fillId="7" borderId="31" xfId="0" applyFont="1" applyFill="1" applyBorder="1" applyAlignment="1" applyProtection="1">
      <alignment horizontal="left" vertical="center" wrapText="1"/>
      <protection locked="0"/>
    </xf>
    <xf numFmtId="0" fontId="20" fillId="7" borderId="31" xfId="0" applyFont="1" applyFill="1" applyBorder="1" applyAlignment="1" applyProtection="1">
      <alignment horizontal="left" vertical="center" wrapText="1"/>
      <protection locked="0"/>
    </xf>
    <xf numFmtId="0" fontId="5" fillId="5" borderId="7" xfId="0" applyFont="1" applyFill="1" applyBorder="1" applyAlignment="1">
      <alignment horizontal="center" vertical="center" wrapText="1"/>
    </xf>
    <xf numFmtId="0" fontId="63" fillId="7" borderId="7" xfId="0" applyFont="1" applyFill="1" applyBorder="1" applyAlignment="1" applyProtection="1">
      <alignment horizontal="left" vertical="center" wrapText="1"/>
      <protection locked="0"/>
    </xf>
    <xf numFmtId="0" fontId="24" fillId="7" borderId="31" xfId="0" applyFont="1" applyFill="1" applyBorder="1" applyAlignment="1" applyProtection="1">
      <alignment horizontal="left" vertical="center" wrapText="1"/>
      <protection locked="0"/>
    </xf>
    <xf numFmtId="0" fontId="9" fillId="7" borderId="31" xfId="0" applyFont="1" applyFill="1" applyBorder="1" applyAlignment="1" applyProtection="1">
      <alignment horizontal="left" vertical="center" wrapText="1"/>
      <protection locked="0"/>
    </xf>
    <xf numFmtId="0" fontId="21" fillId="7" borderId="31" xfId="0" applyFont="1" applyFill="1" applyBorder="1" applyAlignment="1" applyProtection="1">
      <alignment horizontal="left" vertical="center" wrapText="1"/>
      <protection locked="0"/>
    </xf>
    <xf numFmtId="0" fontId="19" fillId="7" borderId="7" xfId="0" applyFont="1" applyFill="1" applyBorder="1" applyAlignment="1" applyProtection="1">
      <alignment horizontal="left" vertical="center" wrapText="1"/>
      <protection locked="0"/>
    </xf>
    <xf numFmtId="0" fontId="4" fillId="0" borderId="53" xfId="0" applyFont="1" applyBorder="1">
      <alignment vertical="center"/>
    </xf>
    <xf numFmtId="0" fontId="14" fillId="7" borderId="31" xfId="0" applyFont="1" applyFill="1" applyBorder="1" applyAlignment="1" applyProtection="1">
      <alignment horizontal="left" vertical="center" wrapText="1"/>
      <protection locked="0"/>
    </xf>
    <xf numFmtId="0" fontId="22" fillId="7" borderId="7" xfId="0" applyFont="1" applyFill="1" applyBorder="1" applyAlignment="1" applyProtection="1">
      <alignment horizontal="left" vertical="center" wrapText="1"/>
      <protection locked="0"/>
    </xf>
    <xf numFmtId="0" fontId="4" fillId="0" borderId="58" xfId="0" applyFont="1" applyBorder="1">
      <alignment vertical="center"/>
    </xf>
    <xf numFmtId="0" fontId="25" fillId="14" borderId="3" xfId="0" applyFont="1" applyFill="1" applyBorder="1" applyAlignment="1" applyProtection="1">
      <alignment horizontal="left" vertical="center" wrapText="1" indent="1"/>
      <protection locked="0"/>
    </xf>
    <xf numFmtId="0" fontId="15" fillId="11" borderId="5" xfId="0" applyFont="1" applyFill="1" applyBorder="1" applyAlignment="1">
      <alignment horizontal="center" vertical="center" wrapText="1"/>
    </xf>
    <xf numFmtId="0" fontId="101" fillId="0" borderId="10" xfId="0" applyFont="1" applyBorder="1" applyAlignment="1">
      <alignment horizontal="center" vertical="center"/>
    </xf>
    <xf numFmtId="0" fontId="101" fillId="0" borderId="11" xfId="0" applyFont="1" applyBorder="1" applyAlignment="1">
      <alignment horizontal="center" vertical="center"/>
    </xf>
    <xf numFmtId="0" fontId="25" fillId="17" borderId="3" xfId="0" applyFont="1" applyFill="1" applyBorder="1" applyAlignment="1" applyProtection="1">
      <alignment horizontal="left" vertical="center" wrapText="1"/>
      <protection locked="0"/>
    </xf>
    <xf numFmtId="0" fontId="102" fillId="17" borderId="3" xfId="0" applyFont="1" applyFill="1" applyBorder="1" applyAlignment="1" applyProtection="1">
      <alignment horizontal="left" vertical="center" wrapText="1"/>
      <protection locked="0"/>
    </xf>
    <xf numFmtId="0" fontId="103" fillId="17" borderId="3" xfId="0" applyFont="1" applyFill="1" applyBorder="1" applyAlignment="1" applyProtection="1">
      <alignment horizontal="center" vertical="center" wrapText="1"/>
      <protection locked="0"/>
    </xf>
    <xf numFmtId="0" fontId="59" fillId="17" borderId="3" xfId="0" applyFont="1" applyFill="1" applyBorder="1" applyAlignment="1" applyProtection="1">
      <alignment horizontal="left" vertical="center" wrapText="1"/>
      <protection locked="0"/>
    </xf>
    <xf numFmtId="0" fontId="65" fillId="17" borderId="3" xfId="0" applyFont="1" applyFill="1" applyBorder="1" applyAlignment="1" applyProtection="1">
      <alignment horizontal="left" vertical="center" wrapText="1"/>
      <protection locked="0"/>
    </xf>
    <xf numFmtId="0" fontId="14" fillId="17" borderId="3" xfId="0" applyFont="1" applyFill="1" applyBorder="1" applyAlignment="1" applyProtection="1">
      <alignment horizontal="left" vertical="center" wrapText="1"/>
      <protection locked="0"/>
    </xf>
    <xf numFmtId="0" fontId="104" fillId="17" borderId="3" xfId="0" applyFont="1" applyFill="1" applyBorder="1" applyAlignment="1" applyProtection="1">
      <alignment horizontal="left" vertical="center" wrapText="1"/>
      <protection locked="0"/>
    </xf>
    <xf numFmtId="0" fontId="42" fillId="17" borderId="9" xfId="0" applyFont="1" applyFill="1" applyBorder="1" applyAlignment="1" applyProtection="1">
      <alignment horizontal="left" vertical="center" wrapText="1" indent="1"/>
      <protection locked="0"/>
    </xf>
    <xf numFmtId="0" fontId="41" fillId="17" borderId="31" xfId="0" applyFont="1" applyFill="1" applyBorder="1" applyAlignment="1" applyProtection="1">
      <alignment horizontal="left" vertical="center" wrapText="1"/>
      <protection locked="0"/>
    </xf>
    <xf numFmtId="0" fontId="42" fillId="17" borderId="7" xfId="0" applyFont="1" applyFill="1" applyBorder="1" applyAlignment="1" applyProtection="1">
      <alignment horizontal="left" vertical="center" wrapText="1"/>
      <protection locked="0"/>
    </xf>
    <xf numFmtId="0" fontId="42" fillId="17" borderId="31" xfId="0" applyFont="1" applyFill="1" applyBorder="1" applyAlignment="1" applyProtection="1">
      <alignment horizontal="left" vertical="center" wrapText="1" indent="1"/>
      <protection locked="0"/>
    </xf>
    <xf numFmtId="0" fontId="42" fillId="17" borderId="36" xfId="0" applyFont="1" applyFill="1" applyBorder="1" applyAlignment="1" applyProtection="1">
      <alignment horizontal="left" vertical="center" wrapText="1" indent="1"/>
      <protection locked="0"/>
    </xf>
    <xf numFmtId="0" fontId="42" fillId="17" borderId="7" xfId="0" applyFont="1" applyFill="1" applyBorder="1" applyAlignment="1" applyProtection="1">
      <alignment horizontal="left" vertical="center" wrapText="1" indent="1"/>
      <protection locked="0"/>
    </xf>
    <xf numFmtId="0" fontId="42" fillId="17" borderId="25" xfId="0" applyFont="1" applyFill="1" applyBorder="1" applyAlignment="1" applyProtection="1">
      <alignment horizontal="left" vertical="center" wrapText="1" indent="1"/>
      <protection locked="0"/>
    </xf>
    <xf numFmtId="176" fontId="105" fillId="14" borderId="3" xfId="0" applyNumberFormat="1" applyFont="1" applyFill="1" applyBorder="1" applyAlignment="1" applyProtection="1">
      <alignment horizontal="center" vertical="center" wrapText="1"/>
      <protection locked="0"/>
    </xf>
    <xf numFmtId="0" fontId="57" fillId="14" borderId="3" xfId="0" applyFont="1" applyFill="1" applyBorder="1" applyAlignment="1" applyProtection="1">
      <alignment horizontal="left" vertical="center" wrapText="1" indent="1"/>
      <protection locked="0"/>
    </xf>
    <xf numFmtId="0" fontId="89" fillId="14" borderId="3" xfId="0" applyFont="1" applyFill="1" applyBorder="1" applyAlignment="1" applyProtection="1">
      <alignment horizontal="left" vertical="center" wrapText="1" indent="1"/>
      <protection locked="0"/>
    </xf>
    <xf numFmtId="176" fontId="105" fillId="17" borderId="3" xfId="0" applyNumberFormat="1" applyFont="1" applyFill="1" applyBorder="1" applyAlignment="1" applyProtection="1">
      <alignment horizontal="center" vertical="center" wrapText="1"/>
      <protection locked="0"/>
    </xf>
    <xf numFmtId="0" fontId="106" fillId="17" borderId="3" xfId="0" applyFont="1" applyFill="1" applyBorder="1" applyAlignment="1" applyProtection="1">
      <alignment horizontal="left" vertical="center" wrapText="1" indent="1"/>
      <protection locked="0"/>
    </xf>
    <xf numFmtId="0" fontId="30" fillId="12" borderId="30" xfId="0" applyFont="1" applyFill="1" applyBorder="1" applyAlignment="1">
      <alignment horizontal="center" vertical="center" wrapText="1"/>
    </xf>
    <xf numFmtId="0" fontId="106" fillId="17" borderId="7" xfId="0" applyFont="1" applyFill="1" applyBorder="1" applyAlignment="1" applyProtection="1">
      <alignment horizontal="left" vertical="center" wrapText="1" indent="1"/>
      <protection locked="0"/>
    </xf>
    <xf numFmtId="0" fontId="107" fillId="0" borderId="13" xfId="0" applyFont="1" applyBorder="1" applyAlignment="1">
      <alignment horizontal="left" vertical="center" wrapText="1"/>
    </xf>
    <xf numFmtId="0" fontId="107" fillId="0" borderId="15" xfId="0" applyFont="1" applyBorder="1" applyAlignment="1">
      <alignment horizontal="left" vertical="center" wrapText="1"/>
    </xf>
    <xf numFmtId="0" fontId="49" fillId="17" borderId="3" xfId="0" applyFont="1" applyFill="1" applyBorder="1" applyAlignment="1" applyProtection="1">
      <alignment horizontal="center" vertical="center" wrapText="1"/>
      <protection locked="0"/>
    </xf>
    <xf numFmtId="0" fontId="107" fillId="0" borderId="23" xfId="0" applyFont="1" applyBorder="1" applyAlignment="1">
      <alignment horizontal="left" vertical="center" wrapText="1"/>
    </xf>
    <xf numFmtId="0" fontId="107" fillId="0" borderId="24" xfId="0" applyFont="1" applyBorder="1" applyAlignment="1">
      <alignment horizontal="left" vertical="center" wrapText="1"/>
    </xf>
    <xf numFmtId="0" fontId="47" fillId="17" borderId="3" xfId="0" applyFont="1" applyFill="1" applyBorder="1" applyAlignment="1" applyProtection="1">
      <alignment horizontal="left" vertical="center" wrapText="1"/>
      <protection locked="0"/>
    </xf>
    <xf numFmtId="0" fontId="108" fillId="17" borderId="3" xfId="0" applyFont="1" applyFill="1" applyBorder="1" applyAlignment="1" applyProtection="1">
      <alignment horizontal="left" vertical="center" wrapText="1"/>
      <protection locked="0"/>
    </xf>
    <xf numFmtId="0" fontId="63" fillId="17" borderId="3" xfId="0" applyFont="1" applyFill="1" applyBorder="1" applyAlignment="1" applyProtection="1">
      <alignment horizontal="left" vertical="center" wrapText="1"/>
      <protection locked="0"/>
    </xf>
    <xf numFmtId="0" fontId="89" fillId="17" borderId="3" xfId="0" applyFont="1" applyFill="1" applyBorder="1" applyAlignment="1" applyProtection="1">
      <alignment horizontal="left" vertical="center" wrapText="1" indent="1"/>
      <protection locked="0"/>
    </xf>
    <xf numFmtId="176" fontId="62" fillId="17" borderId="9" xfId="0" applyNumberFormat="1" applyFont="1" applyFill="1" applyBorder="1" applyAlignment="1" applyProtection="1">
      <alignment horizontal="center" vertical="center" wrapText="1"/>
      <protection locked="0"/>
    </xf>
    <xf numFmtId="0" fontId="47" fillId="17" borderId="9" xfId="0" applyFont="1" applyFill="1" applyBorder="1" applyAlignment="1" applyProtection="1">
      <alignment horizontal="left" vertical="center" wrapText="1" indent="1"/>
      <protection locked="0"/>
    </xf>
    <xf numFmtId="0" fontId="47" fillId="17" borderId="25" xfId="0" applyFont="1" applyFill="1" applyBorder="1" applyAlignment="1" applyProtection="1">
      <alignment horizontal="left" vertical="center" wrapText="1" indent="1"/>
      <protection locked="0"/>
    </xf>
    <xf numFmtId="176" fontId="68" fillId="6" borderId="3" xfId="0" applyNumberFormat="1" applyFont="1" applyFill="1" applyBorder="1" applyAlignment="1" applyProtection="1">
      <alignment horizontal="center" vertical="center" wrapText="1"/>
      <protection locked="0"/>
    </xf>
    <xf numFmtId="0" fontId="24" fillId="6" borderId="3" xfId="0" applyFont="1" applyFill="1" applyBorder="1" applyAlignment="1" applyProtection="1">
      <alignment horizontal="left" vertical="center" wrapText="1" indent="1"/>
      <protection locked="0"/>
    </xf>
    <xf numFmtId="0" fontId="63" fillId="7" borderId="31" xfId="0" applyFont="1" applyFill="1" applyBorder="1" applyAlignment="1" applyProtection="1">
      <alignment horizontal="left" vertical="center" wrapText="1"/>
      <protection locked="0"/>
    </xf>
    <xf numFmtId="0" fontId="19" fillId="7" borderId="31" xfId="0" applyFont="1" applyFill="1" applyBorder="1" applyAlignment="1" applyProtection="1">
      <alignment horizontal="left" vertical="center" wrapText="1"/>
      <protection locked="0"/>
    </xf>
    <xf numFmtId="0" fontId="20" fillId="7" borderId="7" xfId="0" applyFont="1" applyFill="1" applyBorder="1" applyAlignment="1" applyProtection="1">
      <alignment horizontal="left" vertical="center" wrapText="1"/>
      <protection locked="0"/>
    </xf>
    <xf numFmtId="0" fontId="109" fillId="7" borderId="31" xfId="0" applyFont="1" applyFill="1" applyBorder="1" applyAlignment="1" applyProtection="1">
      <alignment horizontal="left" vertical="center" wrapText="1"/>
      <protection locked="0"/>
    </xf>
    <xf numFmtId="0" fontId="9" fillId="7" borderId="7" xfId="0" applyFont="1" applyFill="1" applyBorder="1" applyAlignment="1" applyProtection="1">
      <alignment horizontal="left" vertical="center" wrapText="1"/>
      <protection locked="0"/>
    </xf>
    <xf numFmtId="0" fontId="110" fillId="7" borderId="31" xfId="0" applyFont="1" applyFill="1" applyBorder="1" applyAlignment="1" applyProtection="1">
      <alignment horizontal="left" vertical="center" wrapText="1"/>
      <protection locked="0"/>
    </xf>
    <xf numFmtId="0" fontId="29" fillId="0" borderId="0" xfId="0" applyFont="1" applyBorder="1" applyAlignment="1">
      <alignment horizontal="left" vertical="center" wrapText="1"/>
    </xf>
    <xf numFmtId="0" fontId="74" fillId="17" borderId="3" xfId="0" applyFont="1" applyFill="1" applyBorder="1" applyAlignment="1" applyProtection="1">
      <alignment horizontal="left" vertical="center" wrapText="1"/>
      <protection locked="0"/>
    </xf>
    <xf numFmtId="0" fontId="80" fillId="17" borderId="3" xfId="0" applyFont="1" applyFill="1" applyBorder="1" applyAlignment="1" applyProtection="1">
      <alignment horizontal="left" vertical="center" wrapText="1"/>
      <protection locked="0"/>
    </xf>
    <xf numFmtId="0" fontId="24" fillId="17" borderId="3" xfId="0" applyFont="1" applyFill="1" applyBorder="1" applyAlignment="1" applyProtection="1">
      <alignment horizontal="left" vertical="center" wrapText="1"/>
      <protection locked="0"/>
    </xf>
    <xf numFmtId="0" fontId="21" fillId="17" borderId="3" xfId="0" applyFont="1" applyFill="1" applyBorder="1" applyAlignment="1" applyProtection="1">
      <alignment horizontal="left" vertical="center" wrapText="1"/>
      <protection locked="0"/>
    </xf>
    <xf numFmtId="0" fontId="111" fillId="17" borderId="3" xfId="0" applyFont="1" applyFill="1" applyBorder="1" applyAlignment="1" applyProtection="1">
      <alignment horizontal="left" vertical="center" wrapText="1"/>
      <protection locked="0"/>
    </xf>
    <xf numFmtId="176" fontId="91" fillId="17" borderId="3" xfId="0" applyNumberFormat="1" applyFont="1" applyFill="1" applyBorder="1" applyAlignment="1" applyProtection="1">
      <alignment horizontal="center" vertical="center" wrapText="1"/>
      <protection locked="0"/>
    </xf>
    <xf numFmtId="176" fontId="91" fillId="17" borderId="9" xfId="0" applyNumberFormat="1" applyFont="1" applyFill="1" applyBorder="1" applyAlignment="1" applyProtection="1">
      <alignment horizontal="center" vertical="center" wrapText="1"/>
      <protection locked="0"/>
    </xf>
    <xf numFmtId="0" fontId="74" fillId="17" borderId="3" xfId="0" applyFont="1" applyFill="1" applyBorder="1" applyAlignment="1" applyProtection="1">
      <alignment horizontal="left" vertical="center" wrapText="1" indent="1"/>
      <protection locked="0"/>
    </xf>
    <xf numFmtId="0" fontId="74" fillId="17" borderId="9" xfId="0" applyFont="1" applyFill="1" applyBorder="1" applyAlignment="1" applyProtection="1">
      <alignment horizontal="left" vertical="center" wrapText="1" indent="1"/>
      <protection locked="0"/>
    </xf>
    <xf numFmtId="0" fontId="74" fillId="17" borderId="7" xfId="0" applyFont="1" applyFill="1" applyBorder="1" applyAlignment="1" applyProtection="1">
      <alignment horizontal="left" vertical="center" wrapText="1" indent="1"/>
      <protection locked="0"/>
    </xf>
    <xf numFmtId="0" fontId="74" fillId="17" borderId="25" xfId="0" applyFont="1" applyFill="1" applyBorder="1" applyAlignment="1" applyProtection="1">
      <alignment horizontal="left" vertical="center" wrapText="1" indent="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theme="0" tint="-0.05"/>
        </patternFill>
      </fill>
    </dxf>
    <dxf>
      <font>
        <color theme="0" tint="-0.35"/>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mruColors>
      <color rgb="003C5F21"/>
      <color rgb="00843E0B"/>
      <color rgb="007F9698"/>
      <color rgb="00D9D9B1"/>
      <color rgb="00D9D9D9"/>
      <color rgb="00FFFFFF"/>
      <color rgb="008444C1"/>
      <color rgb="0066339A"/>
      <color rgb="000070C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11.png"/><Relationship Id="rId8" Type="http://schemas.openxmlformats.org/officeDocument/2006/relationships/image" Target="media/image10.png"/><Relationship Id="rId7" Type="http://schemas.openxmlformats.org/officeDocument/2006/relationships/image" Target="NULL" TargetMode="External"/><Relationship Id="rId6" Type="http://schemas.openxmlformats.org/officeDocument/2006/relationships/image" Target="media/image9.png"/><Relationship Id="rId54" Type="http://schemas.openxmlformats.org/officeDocument/2006/relationships/image" Target="media/image53.png"/><Relationship Id="rId53" Type="http://schemas.openxmlformats.org/officeDocument/2006/relationships/image" Target="media/image52.png"/><Relationship Id="rId52" Type="http://schemas.openxmlformats.org/officeDocument/2006/relationships/image" Target="media/image51.png"/><Relationship Id="rId51" Type="http://schemas.openxmlformats.org/officeDocument/2006/relationships/image" Target="media/image50.png"/><Relationship Id="rId50" Type="http://schemas.openxmlformats.org/officeDocument/2006/relationships/image" Target="media/image49.png"/><Relationship Id="rId5" Type="http://schemas.openxmlformats.org/officeDocument/2006/relationships/image" Target="media/image8.png"/><Relationship Id="rId49" Type="http://schemas.openxmlformats.org/officeDocument/2006/relationships/image" Target="media/image48.png"/><Relationship Id="rId48" Type="http://schemas.openxmlformats.org/officeDocument/2006/relationships/image" Target="media/image47.png"/><Relationship Id="rId47" Type="http://schemas.openxmlformats.org/officeDocument/2006/relationships/image" Target="media/image46.png"/><Relationship Id="rId46" Type="http://schemas.openxmlformats.org/officeDocument/2006/relationships/image" Target="media/image45.png"/><Relationship Id="rId45" Type="http://schemas.openxmlformats.org/officeDocument/2006/relationships/image" Target="media/image44.png"/><Relationship Id="rId44" Type="http://schemas.openxmlformats.org/officeDocument/2006/relationships/image" Target="media/image43.png"/><Relationship Id="rId43" Type="http://schemas.openxmlformats.org/officeDocument/2006/relationships/image" Target="media/image42.png"/><Relationship Id="rId42" Type="http://schemas.openxmlformats.org/officeDocument/2006/relationships/image" Target="media/image41.png"/><Relationship Id="rId41" Type="http://schemas.openxmlformats.org/officeDocument/2006/relationships/image" Target="media/image40.png"/><Relationship Id="rId40" Type="http://schemas.openxmlformats.org/officeDocument/2006/relationships/image" Target="media/image3.png"/><Relationship Id="rId4" Type="http://schemas.openxmlformats.org/officeDocument/2006/relationships/image" Target="media/image7.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1.png"/><Relationship Id="rId33" Type="http://schemas.openxmlformats.org/officeDocument/2006/relationships/image" Target="media/image34.png"/><Relationship Id="rId32" Type="http://schemas.openxmlformats.org/officeDocument/2006/relationships/image" Target="media/image33.png"/><Relationship Id="rId31" Type="http://schemas.openxmlformats.org/officeDocument/2006/relationships/image" Target="media/image2.png"/><Relationship Id="rId30" Type="http://schemas.openxmlformats.org/officeDocument/2006/relationships/image" Target="media/image32.png"/><Relationship Id="rId3" Type="http://schemas.openxmlformats.org/officeDocument/2006/relationships/image" Target="media/image6.png"/><Relationship Id="rId29" Type="http://schemas.openxmlformats.org/officeDocument/2006/relationships/image" Target="media/image31.png"/><Relationship Id="rId28" Type="http://schemas.openxmlformats.org/officeDocument/2006/relationships/image" Target="media/image30.png"/><Relationship Id="rId27" Type="http://schemas.openxmlformats.org/officeDocument/2006/relationships/image" Target="media/image29.png"/><Relationship Id="rId26" Type="http://schemas.openxmlformats.org/officeDocument/2006/relationships/image" Target="media/image28.png"/><Relationship Id="rId25" Type="http://schemas.openxmlformats.org/officeDocument/2006/relationships/image" Target="media/image27.png"/><Relationship Id="rId24" Type="http://schemas.openxmlformats.org/officeDocument/2006/relationships/image" Target="media/image26.png"/><Relationship Id="rId23" Type="http://schemas.openxmlformats.org/officeDocument/2006/relationships/image" Target="media/image25.png"/><Relationship Id="rId22" Type="http://schemas.openxmlformats.org/officeDocument/2006/relationships/image" Target="media/image24.png"/><Relationship Id="rId21" Type="http://schemas.openxmlformats.org/officeDocument/2006/relationships/image" Target="media/image23.png"/><Relationship Id="rId20" Type="http://schemas.openxmlformats.org/officeDocument/2006/relationships/image" Target="media/image22.png"/><Relationship Id="rId2" Type="http://schemas.openxmlformats.org/officeDocument/2006/relationships/image" Target="media/image5.png"/><Relationship Id="rId19" Type="http://schemas.openxmlformats.org/officeDocument/2006/relationships/image" Target="media/image21.png"/><Relationship Id="rId18" Type="http://schemas.openxmlformats.org/officeDocument/2006/relationships/image" Target="media/image20.png"/><Relationship Id="rId17" Type="http://schemas.openxmlformats.org/officeDocument/2006/relationships/image" Target="media/image19.png"/><Relationship Id="rId16" Type="http://schemas.openxmlformats.org/officeDocument/2006/relationships/image" Target="media/image18.png"/><Relationship Id="rId15" Type="http://schemas.openxmlformats.org/officeDocument/2006/relationships/image" Target="media/image17.png"/><Relationship Id="rId14" Type="http://schemas.openxmlformats.org/officeDocument/2006/relationships/image" Target="media/image16.png"/><Relationship Id="rId13" Type="http://schemas.openxmlformats.org/officeDocument/2006/relationships/image" Target="media/image15.png"/><Relationship Id="rId12" Type="http://schemas.openxmlformats.org/officeDocument/2006/relationships/image" Target="media/image14.png"/><Relationship Id="rId11" Type="http://schemas.openxmlformats.org/officeDocument/2006/relationships/image" Target="media/image13.png"/><Relationship Id="rId10" Type="http://schemas.openxmlformats.org/officeDocument/2006/relationships/image" Target="media/image12.png"/><Relationship Id="rId1" Type="http://schemas.openxmlformats.org/officeDocument/2006/relationships/image" Target="media/image4.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schemas.openxmlformats.org/officeDocument/2006/relationships/styles" Target="styles.xml"/><Relationship Id="rId27" Type="http://www.wps.cn/officeDocument/2020/cellImage" Target="cellimages.xml"/><Relationship Id="rId26" Type="http://schemas.openxmlformats.org/officeDocument/2006/relationships/sharedStrings" Target="sharedStrings.xml"/><Relationship Id="rId25" Type="http://schemas.openxmlformats.org/officeDocument/2006/relationships/theme" Target="theme/theme1.xml"/><Relationship Id="rId24" Type="http://schemas.openxmlformats.org/officeDocument/2006/relationships/customXml" Target="../customXml/item5.xml"/><Relationship Id="rId23" Type="http://schemas.openxmlformats.org/officeDocument/2006/relationships/customXml" Target="../customXml/item4.xml"/><Relationship Id="rId22" Type="http://schemas.openxmlformats.org/officeDocument/2006/relationships/customXml" Target="../customXml/item3.xml"/><Relationship Id="rId21" Type="http://schemas.openxmlformats.org/officeDocument/2006/relationships/customXml" Target="../customXml/item2.xml"/><Relationship Id="rId20" Type="http://schemas.openxmlformats.org/officeDocument/2006/relationships/customXml" Target="../customXml/item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9" Type="http://schemas.openxmlformats.org/officeDocument/2006/relationships/image" Target="../media/image11.png"/><Relationship Id="rId8" Type="http://schemas.openxmlformats.org/officeDocument/2006/relationships/image" Target="../media/image10.png"/><Relationship Id="rId7" Type="http://schemas.openxmlformats.org/officeDocument/2006/relationships/image" Target="NULL" TargetMode="External"/><Relationship Id="rId6" Type="http://schemas.openxmlformats.org/officeDocument/2006/relationships/image" Target="../media/image9.png"/><Relationship Id="rId54" Type="http://schemas.openxmlformats.org/officeDocument/2006/relationships/image" Target="../media/image53.png"/><Relationship Id="rId53" Type="http://schemas.openxmlformats.org/officeDocument/2006/relationships/image" Target="../media/image52.png"/><Relationship Id="rId52" Type="http://schemas.openxmlformats.org/officeDocument/2006/relationships/image" Target="../media/image51.png"/><Relationship Id="rId51" Type="http://schemas.openxmlformats.org/officeDocument/2006/relationships/image" Target="../media/image50.png"/><Relationship Id="rId50" Type="http://schemas.openxmlformats.org/officeDocument/2006/relationships/image" Target="../media/image49.png"/><Relationship Id="rId5" Type="http://schemas.openxmlformats.org/officeDocument/2006/relationships/image" Target="../media/image8.png"/><Relationship Id="rId49" Type="http://schemas.openxmlformats.org/officeDocument/2006/relationships/image" Target="../media/image48.png"/><Relationship Id="rId48" Type="http://schemas.openxmlformats.org/officeDocument/2006/relationships/image" Target="../media/image47.png"/><Relationship Id="rId47" Type="http://schemas.openxmlformats.org/officeDocument/2006/relationships/image" Target="../media/image46.png"/><Relationship Id="rId46" Type="http://schemas.openxmlformats.org/officeDocument/2006/relationships/image" Target="../media/image45.png"/><Relationship Id="rId45" Type="http://schemas.openxmlformats.org/officeDocument/2006/relationships/image" Target="../media/image44.png"/><Relationship Id="rId44" Type="http://schemas.openxmlformats.org/officeDocument/2006/relationships/image" Target="../media/image43.png"/><Relationship Id="rId43" Type="http://schemas.openxmlformats.org/officeDocument/2006/relationships/image" Target="../media/image42.png"/><Relationship Id="rId42" Type="http://schemas.openxmlformats.org/officeDocument/2006/relationships/image" Target="../media/image41.png"/><Relationship Id="rId41" Type="http://schemas.openxmlformats.org/officeDocument/2006/relationships/image" Target="../media/image40.png"/><Relationship Id="rId40" Type="http://schemas.openxmlformats.org/officeDocument/2006/relationships/image" Target="../media/image3.png"/><Relationship Id="rId4" Type="http://schemas.openxmlformats.org/officeDocument/2006/relationships/image" Target="../media/image7.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1.png"/><Relationship Id="rId33" Type="http://schemas.openxmlformats.org/officeDocument/2006/relationships/image" Target="../media/image34.png"/><Relationship Id="rId32" Type="http://schemas.openxmlformats.org/officeDocument/2006/relationships/image" Target="../media/image33.png"/><Relationship Id="rId31" Type="http://schemas.openxmlformats.org/officeDocument/2006/relationships/image" Target="../media/image2.png"/><Relationship Id="rId30" Type="http://schemas.openxmlformats.org/officeDocument/2006/relationships/image" Target="../media/image32.png"/><Relationship Id="rId3" Type="http://schemas.openxmlformats.org/officeDocument/2006/relationships/image" Target="../media/image6.png"/><Relationship Id="rId29" Type="http://schemas.openxmlformats.org/officeDocument/2006/relationships/image" Target="../media/image31.png"/><Relationship Id="rId28" Type="http://schemas.openxmlformats.org/officeDocument/2006/relationships/image" Target="../media/image30.png"/><Relationship Id="rId27" Type="http://schemas.openxmlformats.org/officeDocument/2006/relationships/image" Target="../media/image29.png"/><Relationship Id="rId26" Type="http://schemas.openxmlformats.org/officeDocument/2006/relationships/image" Target="../media/image28.png"/><Relationship Id="rId25" Type="http://schemas.openxmlformats.org/officeDocument/2006/relationships/image" Target="../media/image27.png"/><Relationship Id="rId24" Type="http://schemas.openxmlformats.org/officeDocument/2006/relationships/image" Target="../media/image26.png"/><Relationship Id="rId23" Type="http://schemas.openxmlformats.org/officeDocument/2006/relationships/image" Target="../media/image25.png"/><Relationship Id="rId22" Type="http://schemas.openxmlformats.org/officeDocument/2006/relationships/image" Target="../media/image24.png"/><Relationship Id="rId21" Type="http://schemas.openxmlformats.org/officeDocument/2006/relationships/image" Target="../media/image23.png"/><Relationship Id="rId20" Type="http://schemas.openxmlformats.org/officeDocument/2006/relationships/image" Target="../media/image22.png"/><Relationship Id="rId2" Type="http://schemas.openxmlformats.org/officeDocument/2006/relationships/image" Target="../media/image5.png"/><Relationship Id="rId19" Type="http://schemas.openxmlformats.org/officeDocument/2006/relationships/image" Target="../media/image21.png"/><Relationship Id="rId18" Type="http://schemas.openxmlformats.org/officeDocument/2006/relationships/image" Target="../media/image20.png"/><Relationship Id="rId17" Type="http://schemas.openxmlformats.org/officeDocument/2006/relationships/image" Target="../media/image19.png"/><Relationship Id="rId16" Type="http://schemas.openxmlformats.org/officeDocument/2006/relationships/image" Target="../media/image18.png"/><Relationship Id="rId15" Type="http://schemas.openxmlformats.org/officeDocument/2006/relationships/image" Target="../media/image17.png"/><Relationship Id="rId14" Type="http://schemas.openxmlformats.org/officeDocument/2006/relationships/image" Target="../media/image16.png"/><Relationship Id="rId13" Type="http://schemas.openxmlformats.org/officeDocument/2006/relationships/image" Target="../media/image15.png"/><Relationship Id="rId12" Type="http://schemas.openxmlformats.org/officeDocument/2006/relationships/image" Target="../media/image14.png"/><Relationship Id="rId11" Type="http://schemas.openxmlformats.org/officeDocument/2006/relationships/image" Target="../media/image13.png"/><Relationship Id="rId10" Type="http://schemas.openxmlformats.org/officeDocument/2006/relationships/image" Target="../media/image12.png"/><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8255</xdr:colOff>
      <xdr:row>0</xdr:row>
      <xdr:rowOff>724535</xdr:rowOff>
    </xdr:from>
    <xdr:to>
      <xdr:col>36</xdr:col>
      <xdr:colOff>16510</xdr:colOff>
      <xdr:row>1</xdr:row>
      <xdr:rowOff>142240</xdr:rowOff>
    </xdr:to>
    <xdr:sp>
      <xdr:nvSpPr>
        <xdr:cNvPr id="2" name="矩形 1"/>
        <xdr:cNvSpPr/>
      </xdr:nvSpPr>
      <xdr:spPr>
        <a:xfrm>
          <a:off x="8255" y="724535"/>
          <a:ext cx="21598890" cy="19240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225425</xdr:colOff>
      <xdr:row>5</xdr:row>
      <xdr:rowOff>6985</xdr:rowOff>
    </xdr:from>
    <xdr:to>
      <xdr:col>4</xdr:col>
      <xdr:colOff>421005</xdr:colOff>
      <xdr:row>5</xdr:row>
      <xdr:rowOff>6985</xdr:rowOff>
    </xdr:to>
    <xdr:cxnSp>
      <xdr:nvCxnSpPr>
        <xdr:cNvPr id="3" name="直接连接符 2"/>
        <xdr:cNvCxnSpPr/>
      </xdr:nvCxnSpPr>
      <xdr:spPr>
        <a:xfrm>
          <a:off x="225425" y="2343785"/>
          <a:ext cx="2697480"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6</xdr:row>
      <xdr:rowOff>10160</xdr:rowOff>
    </xdr:from>
    <xdr:to>
      <xdr:col>4</xdr:col>
      <xdr:colOff>421005</xdr:colOff>
      <xdr:row>6</xdr:row>
      <xdr:rowOff>10160</xdr:rowOff>
    </xdr:to>
    <xdr:cxnSp>
      <xdr:nvCxnSpPr>
        <xdr:cNvPr id="4" name="直接连接符 3"/>
        <xdr:cNvCxnSpPr/>
      </xdr:nvCxnSpPr>
      <xdr:spPr>
        <a:xfrm>
          <a:off x="225425" y="3235960"/>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9</xdr:row>
      <xdr:rowOff>10795</xdr:rowOff>
    </xdr:from>
    <xdr:to>
      <xdr:col>4</xdr:col>
      <xdr:colOff>421005</xdr:colOff>
      <xdr:row>9</xdr:row>
      <xdr:rowOff>10795</xdr:rowOff>
    </xdr:to>
    <xdr:cxnSp>
      <xdr:nvCxnSpPr>
        <xdr:cNvPr id="5" name="直接连接符 4"/>
        <xdr:cNvCxnSpPr/>
      </xdr:nvCxnSpPr>
      <xdr:spPr>
        <a:xfrm>
          <a:off x="225425" y="4646295"/>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215265</xdr:colOff>
      <xdr:row>15</xdr:row>
      <xdr:rowOff>601980</xdr:rowOff>
    </xdr:from>
    <xdr:to>
      <xdr:col>4</xdr:col>
      <xdr:colOff>410845</xdr:colOff>
      <xdr:row>15</xdr:row>
      <xdr:rowOff>601980</xdr:rowOff>
    </xdr:to>
    <xdr:cxnSp>
      <xdr:nvCxnSpPr>
        <xdr:cNvPr id="6" name="直接连接符 5"/>
        <xdr:cNvCxnSpPr/>
      </xdr:nvCxnSpPr>
      <xdr:spPr>
        <a:xfrm>
          <a:off x="215265" y="8615680"/>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235585</xdr:colOff>
      <xdr:row>16</xdr:row>
      <xdr:rowOff>599440</xdr:rowOff>
    </xdr:from>
    <xdr:to>
      <xdr:col>4</xdr:col>
      <xdr:colOff>431165</xdr:colOff>
      <xdr:row>16</xdr:row>
      <xdr:rowOff>599440</xdr:rowOff>
    </xdr:to>
    <xdr:cxnSp>
      <xdr:nvCxnSpPr>
        <xdr:cNvPr id="7" name="直接连接符 6"/>
        <xdr:cNvCxnSpPr/>
      </xdr:nvCxnSpPr>
      <xdr:spPr>
        <a:xfrm>
          <a:off x="235585" y="9222740"/>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225425</xdr:colOff>
      <xdr:row>5</xdr:row>
      <xdr:rowOff>6985</xdr:rowOff>
    </xdr:from>
    <xdr:to>
      <xdr:col>4</xdr:col>
      <xdr:colOff>421005</xdr:colOff>
      <xdr:row>5</xdr:row>
      <xdr:rowOff>6985</xdr:rowOff>
    </xdr:to>
    <xdr:cxnSp>
      <xdr:nvCxnSpPr>
        <xdr:cNvPr id="3" name="直接连接符 2"/>
        <xdr:cNvCxnSpPr/>
      </xdr:nvCxnSpPr>
      <xdr:spPr>
        <a:xfrm>
          <a:off x="225425" y="2842260"/>
          <a:ext cx="2989580"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6</xdr:row>
      <xdr:rowOff>10160</xdr:rowOff>
    </xdr:from>
    <xdr:to>
      <xdr:col>4</xdr:col>
      <xdr:colOff>421005</xdr:colOff>
      <xdr:row>6</xdr:row>
      <xdr:rowOff>10160</xdr:rowOff>
    </xdr:to>
    <xdr:cxnSp>
      <xdr:nvCxnSpPr>
        <xdr:cNvPr id="4" name="直接连接符 3"/>
        <xdr:cNvCxnSpPr/>
      </xdr:nvCxnSpPr>
      <xdr:spPr>
        <a:xfrm>
          <a:off x="225425" y="3702685"/>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9</xdr:row>
      <xdr:rowOff>10795</xdr:rowOff>
    </xdr:from>
    <xdr:to>
      <xdr:col>4</xdr:col>
      <xdr:colOff>421005</xdr:colOff>
      <xdr:row>9</xdr:row>
      <xdr:rowOff>10795</xdr:rowOff>
    </xdr:to>
    <xdr:cxnSp>
      <xdr:nvCxnSpPr>
        <xdr:cNvPr id="5" name="直接连接符 4"/>
        <xdr:cNvCxnSpPr/>
      </xdr:nvCxnSpPr>
      <xdr:spPr>
        <a:xfrm>
          <a:off x="225425" y="5490845"/>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215265</xdr:colOff>
      <xdr:row>15</xdr:row>
      <xdr:rowOff>601980</xdr:rowOff>
    </xdr:from>
    <xdr:to>
      <xdr:col>4</xdr:col>
      <xdr:colOff>410845</xdr:colOff>
      <xdr:row>15</xdr:row>
      <xdr:rowOff>601980</xdr:rowOff>
    </xdr:to>
    <xdr:cxnSp>
      <xdr:nvCxnSpPr>
        <xdr:cNvPr id="6" name="直接连接符 5"/>
        <xdr:cNvCxnSpPr/>
      </xdr:nvCxnSpPr>
      <xdr:spPr>
        <a:xfrm>
          <a:off x="215265" y="9799955"/>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235585</xdr:colOff>
      <xdr:row>16</xdr:row>
      <xdr:rowOff>599440</xdr:rowOff>
    </xdr:from>
    <xdr:to>
      <xdr:col>4</xdr:col>
      <xdr:colOff>431165</xdr:colOff>
      <xdr:row>16</xdr:row>
      <xdr:rowOff>599440</xdr:rowOff>
    </xdr:to>
    <xdr:cxnSp>
      <xdr:nvCxnSpPr>
        <xdr:cNvPr id="7" name="直接连接符 6"/>
        <xdr:cNvCxnSpPr/>
      </xdr:nvCxnSpPr>
      <xdr:spPr>
        <a:xfrm>
          <a:off x="235585" y="10578465"/>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0</xdr:colOff>
      <xdr:row>1</xdr:row>
      <xdr:rowOff>0</xdr:rowOff>
    </xdr:from>
    <xdr:to>
      <xdr:col>36</xdr:col>
      <xdr:colOff>9525</xdr:colOff>
      <xdr:row>2</xdr:row>
      <xdr:rowOff>27305</xdr:rowOff>
    </xdr:to>
    <xdr:sp>
      <xdr:nvSpPr>
        <xdr:cNvPr id="10" name="矩形 9"/>
        <xdr:cNvSpPr/>
      </xdr:nvSpPr>
      <xdr:spPr>
        <a:xfrm>
          <a:off x="0" y="771525"/>
          <a:ext cx="24107775" cy="23685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7620</xdr:colOff>
      <xdr:row>0</xdr:row>
      <xdr:rowOff>734060</xdr:rowOff>
    </xdr:from>
    <xdr:to>
      <xdr:col>36</xdr:col>
      <xdr:colOff>17145</xdr:colOff>
      <xdr:row>1</xdr:row>
      <xdr:rowOff>151765</xdr:rowOff>
    </xdr:to>
    <xdr:sp>
      <xdr:nvSpPr>
        <xdr:cNvPr id="2" name="矩形 1"/>
        <xdr:cNvSpPr/>
      </xdr:nvSpPr>
      <xdr:spPr>
        <a:xfrm>
          <a:off x="7620" y="734060"/>
          <a:ext cx="21600160" cy="19240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225425</xdr:colOff>
      <xdr:row>5</xdr:row>
      <xdr:rowOff>6985</xdr:rowOff>
    </xdr:from>
    <xdr:to>
      <xdr:col>4</xdr:col>
      <xdr:colOff>421005</xdr:colOff>
      <xdr:row>5</xdr:row>
      <xdr:rowOff>6985</xdr:rowOff>
    </xdr:to>
    <xdr:cxnSp>
      <xdr:nvCxnSpPr>
        <xdr:cNvPr id="3" name="直接连接符 2"/>
        <xdr:cNvCxnSpPr/>
      </xdr:nvCxnSpPr>
      <xdr:spPr>
        <a:xfrm>
          <a:off x="225425" y="2343785"/>
          <a:ext cx="2697480"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6</xdr:row>
      <xdr:rowOff>10160</xdr:rowOff>
    </xdr:from>
    <xdr:to>
      <xdr:col>4</xdr:col>
      <xdr:colOff>421005</xdr:colOff>
      <xdr:row>6</xdr:row>
      <xdr:rowOff>10160</xdr:rowOff>
    </xdr:to>
    <xdr:cxnSp>
      <xdr:nvCxnSpPr>
        <xdr:cNvPr id="4" name="直接连接符 3"/>
        <xdr:cNvCxnSpPr/>
      </xdr:nvCxnSpPr>
      <xdr:spPr>
        <a:xfrm>
          <a:off x="225425" y="3235960"/>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9</xdr:row>
      <xdr:rowOff>10795</xdr:rowOff>
    </xdr:from>
    <xdr:to>
      <xdr:col>4</xdr:col>
      <xdr:colOff>421005</xdr:colOff>
      <xdr:row>9</xdr:row>
      <xdr:rowOff>10795</xdr:rowOff>
    </xdr:to>
    <xdr:cxnSp>
      <xdr:nvCxnSpPr>
        <xdr:cNvPr id="5" name="直接连接符 4"/>
        <xdr:cNvCxnSpPr/>
      </xdr:nvCxnSpPr>
      <xdr:spPr>
        <a:xfrm>
          <a:off x="225425" y="4646295"/>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215265</xdr:colOff>
      <xdr:row>15</xdr:row>
      <xdr:rowOff>601980</xdr:rowOff>
    </xdr:from>
    <xdr:to>
      <xdr:col>4</xdr:col>
      <xdr:colOff>410845</xdr:colOff>
      <xdr:row>15</xdr:row>
      <xdr:rowOff>601980</xdr:rowOff>
    </xdr:to>
    <xdr:cxnSp>
      <xdr:nvCxnSpPr>
        <xdr:cNvPr id="6" name="直接连接符 5"/>
        <xdr:cNvCxnSpPr/>
      </xdr:nvCxnSpPr>
      <xdr:spPr>
        <a:xfrm>
          <a:off x="215265" y="8615680"/>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235585</xdr:colOff>
      <xdr:row>16</xdr:row>
      <xdr:rowOff>599440</xdr:rowOff>
    </xdr:from>
    <xdr:to>
      <xdr:col>4</xdr:col>
      <xdr:colOff>431165</xdr:colOff>
      <xdr:row>16</xdr:row>
      <xdr:rowOff>599440</xdr:rowOff>
    </xdr:to>
    <xdr:cxnSp>
      <xdr:nvCxnSpPr>
        <xdr:cNvPr id="7" name="直接连接符 6"/>
        <xdr:cNvCxnSpPr/>
      </xdr:nvCxnSpPr>
      <xdr:spPr>
        <a:xfrm>
          <a:off x="235585" y="9222740"/>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editAs="oneCell">
    <xdr:from>
      <xdr:col>5</xdr:col>
      <xdr:colOff>29210</xdr:colOff>
      <xdr:row>19</xdr:row>
      <xdr:rowOff>33020</xdr:rowOff>
    </xdr:from>
    <xdr:to>
      <xdr:col>6</xdr:col>
      <xdr:colOff>318770</xdr:colOff>
      <xdr:row>21</xdr:row>
      <xdr:rowOff>201295</xdr:rowOff>
    </xdr:to>
    <xdr:pic>
      <xdr:nvPicPr>
        <xdr:cNvPr id="8" name="ID_3B63C68CCA6F4D58B69A00D353485E5B" descr="职业分支图标_战术家"/>
        <xdr:cNvPicPr>
          <a:picLocks noChangeAspect="1"/>
        </xdr:cNvPicPr>
      </xdr:nvPicPr>
      <xdr:blipFill>
        <a:blip r:embed="rId1"/>
        <a:stretch>
          <a:fillRect/>
        </a:stretch>
      </xdr:blipFill>
      <xdr:spPr>
        <a:xfrm>
          <a:off x="3218180" y="10589895"/>
          <a:ext cx="593090" cy="58737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225425</xdr:colOff>
      <xdr:row>5</xdr:row>
      <xdr:rowOff>6985</xdr:rowOff>
    </xdr:from>
    <xdr:to>
      <xdr:col>4</xdr:col>
      <xdr:colOff>421005</xdr:colOff>
      <xdr:row>5</xdr:row>
      <xdr:rowOff>6985</xdr:rowOff>
    </xdr:to>
    <xdr:cxnSp>
      <xdr:nvCxnSpPr>
        <xdr:cNvPr id="3" name="直接连接符 2"/>
        <xdr:cNvCxnSpPr/>
      </xdr:nvCxnSpPr>
      <xdr:spPr>
        <a:xfrm>
          <a:off x="225425" y="2737485"/>
          <a:ext cx="2989580"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6</xdr:row>
      <xdr:rowOff>10160</xdr:rowOff>
    </xdr:from>
    <xdr:to>
      <xdr:col>4</xdr:col>
      <xdr:colOff>421005</xdr:colOff>
      <xdr:row>6</xdr:row>
      <xdr:rowOff>10160</xdr:rowOff>
    </xdr:to>
    <xdr:cxnSp>
      <xdr:nvCxnSpPr>
        <xdr:cNvPr id="4" name="直接连接符 3"/>
        <xdr:cNvCxnSpPr/>
      </xdr:nvCxnSpPr>
      <xdr:spPr>
        <a:xfrm>
          <a:off x="225425" y="350266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9</xdr:row>
      <xdr:rowOff>10795</xdr:rowOff>
    </xdr:from>
    <xdr:to>
      <xdr:col>4</xdr:col>
      <xdr:colOff>421005</xdr:colOff>
      <xdr:row>9</xdr:row>
      <xdr:rowOff>10795</xdr:rowOff>
    </xdr:to>
    <xdr:cxnSp>
      <xdr:nvCxnSpPr>
        <xdr:cNvPr id="5" name="直接连接符 4"/>
        <xdr:cNvCxnSpPr/>
      </xdr:nvCxnSpPr>
      <xdr:spPr>
        <a:xfrm>
          <a:off x="225425" y="5281295"/>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215265</xdr:colOff>
      <xdr:row>15</xdr:row>
      <xdr:rowOff>601980</xdr:rowOff>
    </xdr:from>
    <xdr:to>
      <xdr:col>4</xdr:col>
      <xdr:colOff>410845</xdr:colOff>
      <xdr:row>15</xdr:row>
      <xdr:rowOff>601980</xdr:rowOff>
    </xdr:to>
    <xdr:cxnSp>
      <xdr:nvCxnSpPr>
        <xdr:cNvPr id="6" name="直接连接符 5"/>
        <xdr:cNvCxnSpPr/>
      </xdr:nvCxnSpPr>
      <xdr:spPr>
        <a:xfrm>
          <a:off x="215265" y="942848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235585</xdr:colOff>
      <xdr:row>16</xdr:row>
      <xdr:rowOff>599440</xdr:rowOff>
    </xdr:from>
    <xdr:to>
      <xdr:col>4</xdr:col>
      <xdr:colOff>431165</xdr:colOff>
      <xdr:row>16</xdr:row>
      <xdr:rowOff>599440</xdr:rowOff>
    </xdr:to>
    <xdr:cxnSp>
      <xdr:nvCxnSpPr>
        <xdr:cNvPr id="7" name="直接连接符 6"/>
        <xdr:cNvCxnSpPr/>
      </xdr:nvCxnSpPr>
      <xdr:spPr>
        <a:xfrm>
          <a:off x="235585" y="1018794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9</xdr:col>
      <xdr:colOff>66040</xdr:colOff>
      <xdr:row>12</xdr:row>
      <xdr:rowOff>72390</xdr:rowOff>
    </xdr:from>
    <xdr:to>
      <xdr:col>10</xdr:col>
      <xdr:colOff>355600</xdr:colOff>
      <xdr:row>13</xdr:row>
      <xdr:rowOff>683260</xdr:rowOff>
    </xdr:to>
    <xdr:pic>
      <xdr:nvPicPr>
        <xdr:cNvPr id="9" name="Picture 11"/>
        <xdr:cNvPicPr>
          <a:picLocks noChangeAspect="1"/>
        </xdr:cNvPicPr>
      </xdr:nvPicPr>
      <xdr:blipFill>
        <a:blip r:embed="rId1"/>
        <a:stretch>
          <a:fillRect/>
        </a:stretch>
      </xdr:blipFill>
      <xdr:spPr>
        <a:xfrm>
          <a:off x="5654040" y="7120890"/>
          <a:ext cx="988060" cy="1372870"/>
        </a:xfrm>
        <a:prstGeom prst="rect">
          <a:avLst/>
        </a:prstGeom>
      </xdr:spPr>
    </xdr:pic>
    <xdr:clientData/>
  </xdr:twoCellAnchor>
  <xdr:twoCellAnchor>
    <xdr:from>
      <xdr:col>0</xdr:col>
      <xdr:colOff>0</xdr:colOff>
      <xdr:row>1</xdr:row>
      <xdr:rowOff>0</xdr:rowOff>
    </xdr:from>
    <xdr:to>
      <xdr:col>36</xdr:col>
      <xdr:colOff>9525</xdr:colOff>
      <xdr:row>1</xdr:row>
      <xdr:rowOff>179705</xdr:rowOff>
    </xdr:to>
    <xdr:sp>
      <xdr:nvSpPr>
        <xdr:cNvPr id="8" name="矩形 7"/>
        <xdr:cNvSpPr/>
      </xdr:nvSpPr>
      <xdr:spPr>
        <a:xfrm>
          <a:off x="0" y="762000"/>
          <a:ext cx="24107775" cy="17970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7620</xdr:colOff>
      <xdr:row>0</xdr:row>
      <xdr:rowOff>734060</xdr:rowOff>
    </xdr:from>
    <xdr:to>
      <xdr:col>36</xdr:col>
      <xdr:colOff>17145</xdr:colOff>
      <xdr:row>1</xdr:row>
      <xdr:rowOff>151765</xdr:rowOff>
    </xdr:to>
    <xdr:sp>
      <xdr:nvSpPr>
        <xdr:cNvPr id="2" name="矩形 1"/>
        <xdr:cNvSpPr/>
      </xdr:nvSpPr>
      <xdr:spPr>
        <a:xfrm>
          <a:off x="7620" y="734060"/>
          <a:ext cx="21600160" cy="19240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225425</xdr:colOff>
      <xdr:row>5</xdr:row>
      <xdr:rowOff>6985</xdr:rowOff>
    </xdr:from>
    <xdr:to>
      <xdr:col>4</xdr:col>
      <xdr:colOff>421005</xdr:colOff>
      <xdr:row>5</xdr:row>
      <xdr:rowOff>6985</xdr:rowOff>
    </xdr:to>
    <xdr:cxnSp>
      <xdr:nvCxnSpPr>
        <xdr:cNvPr id="3" name="直接连接符 2"/>
        <xdr:cNvCxnSpPr/>
      </xdr:nvCxnSpPr>
      <xdr:spPr>
        <a:xfrm>
          <a:off x="225425" y="2343785"/>
          <a:ext cx="2697480"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6</xdr:row>
      <xdr:rowOff>10160</xdr:rowOff>
    </xdr:from>
    <xdr:to>
      <xdr:col>4</xdr:col>
      <xdr:colOff>421005</xdr:colOff>
      <xdr:row>6</xdr:row>
      <xdr:rowOff>10160</xdr:rowOff>
    </xdr:to>
    <xdr:cxnSp>
      <xdr:nvCxnSpPr>
        <xdr:cNvPr id="4" name="直接连接符 3"/>
        <xdr:cNvCxnSpPr/>
      </xdr:nvCxnSpPr>
      <xdr:spPr>
        <a:xfrm>
          <a:off x="225425" y="3235960"/>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9</xdr:row>
      <xdr:rowOff>10795</xdr:rowOff>
    </xdr:from>
    <xdr:to>
      <xdr:col>4</xdr:col>
      <xdr:colOff>421005</xdr:colOff>
      <xdr:row>9</xdr:row>
      <xdr:rowOff>10795</xdr:rowOff>
    </xdr:to>
    <xdr:cxnSp>
      <xdr:nvCxnSpPr>
        <xdr:cNvPr id="5" name="直接连接符 4"/>
        <xdr:cNvCxnSpPr/>
      </xdr:nvCxnSpPr>
      <xdr:spPr>
        <a:xfrm>
          <a:off x="225425" y="4646295"/>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215265</xdr:colOff>
      <xdr:row>15</xdr:row>
      <xdr:rowOff>601980</xdr:rowOff>
    </xdr:from>
    <xdr:to>
      <xdr:col>4</xdr:col>
      <xdr:colOff>410845</xdr:colOff>
      <xdr:row>15</xdr:row>
      <xdr:rowOff>601980</xdr:rowOff>
    </xdr:to>
    <xdr:cxnSp>
      <xdr:nvCxnSpPr>
        <xdr:cNvPr id="6" name="直接连接符 5"/>
        <xdr:cNvCxnSpPr/>
      </xdr:nvCxnSpPr>
      <xdr:spPr>
        <a:xfrm>
          <a:off x="215265" y="8615680"/>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235585</xdr:colOff>
      <xdr:row>16</xdr:row>
      <xdr:rowOff>599440</xdr:rowOff>
    </xdr:from>
    <xdr:to>
      <xdr:col>4</xdr:col>
      <xdr:colOff>431165</xdr:colOff>
      <xdr:row>16</xdr:row>
      <xdr:rowOff>599440</xdr:rowOff>
    </xdr:to>
    <xdr:cxnSp>
      <xdr:nvCxnSpPr>
        <xdr:cNvPr id="7" name="直接连接符 6"/>
        <xdr:cNvCxnSpPr/>
      </xdr:nvCxnSpPr>
      <xdr:spPr>
        <a:xfrm>
          <a:off x="235585" y="9222740"/>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0</xdr:row>
      <xdr:rowOff>756920</xdr:rowOff>
    </xdr:from>
    <xdr:to>
      <xdr:col>36</xdr:col>
      <xdr:colOff>10160</xdr:colOff>
      <xdr:row>1</xdr:row>
      <xdr:rowOff>174625</xdr:rowOff>
    </xdr:to>
    <xdr:sp>
      <xdr:nvSpPr>
        <xdr:cNvPr id="2" name="矩形 1"/>
        <xdr:cNvSpPr/>
      </xdr:nvSpPr>
      <xdr:spPr>
        <a:xfrm>
          <a:off x="635" y="756920"/>
          <a:ext cx="24107775" cy="189230"/>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225425</xdr:colOff>
      <xdr:row>5</xdr:row>
      <xdr:rowOff>6985</xdr:rowOff>
    </xdr:from>
    <xdr:to>
      <xdr:col>4</xdr:col>
      <xdr:colOff>421005</xdr:colOff>
      <xdr:row>5</xdr:row>
      <xdr:rowOff>6985</xdr:rowOff>
    </xdr:to>
    <xdr:cxnSp>
      <xdr:nvCxnSpPr>
        <xdr:cNvPr id="4" name="直接连接符 3"/>
        <xdr:cNvCxnSpPr/>
      </xdr:nvCxnSpPr>
      <xdr:spPr>
        <a:xfrm>
          <a:off x="225425" y="2804160"/>
          <a:ext cx="2989580"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6</xdr:row>
      <xdr:rowOff>10160</xdr:rowOff>
    </xdr:from>
    <xdr:to>
      <xdr:col>4</xdr:col>
      <xdr:colOff>421005</xdr:colOff>
      <xdr:row>6</xdr:row>
      <xdr:rowOff>10160</xdr:rowOff>
    </xdr:to>
    <xdr:cxnSp>
      <xdr:nvCxnSpPr>
        <xdr:cNvPr id="5" name="直接连接符 4"/>
        <xdr:cNvCxnSpPr/>
      </xdr:nvCxnSpPr>
      <xdr:spPr>
        <a:xfrm>
          <a:off x="225425" y="359791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9</xdr:row>
      <xdr:rowOff>10795</xdr:rowOff>
    </xdr:from>
    <xdr:to>
      <xdr:col>4</xdr:col>
      <xdr:colOff>421005</xdr:colOff>
      <xdr:row>9</xdr:row>
      <xdr:rowOff>10795</xdr:rowOff>
    </xdr:to>
    <xdr:cxnSp>
      <xdr:nvCxnSpPr>
        <xdr:cNvPr id="8" name="直接连接符 7"/>
        <xdr:cNvCxnSpPr/>
      </xdr:nvCxnSpPr>
      <xdr:spPr>
        <a:xfrm>
          <a:off x="225425" y="538607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215265</xdr:colOff>
      <xdr:row>15</xdr:row>
      <xdr:rowOff>601980</xdr:rowOff>
    </xdr:from>
    <xdr:to>
      <xdr:col>4</xdr:col>
      <xdr:colOff>410845</xdr:colOff>
      <xdr:row>15</xdr:row>
      <xdr:rowOff>601980</xdr:rowOff>
    </xdr:to>
    <xdr:cxnSp>
      <xdr:nvCxnSpPr>
        <xdr:cNvPr id="10" name="直接连接符 9"/>
        <xdr:cNvCxnSpPr/>
      </xdr:nvCxnSpPr>
      <xdr:spPr>
        <a:xfrm>
          <a:off x="215265" y="9628505"/>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235585</xdr:colOff>
      <xdr:row>16</xdr:row>
      <xdr:rowOff>599440</xdr:rowOff>
    </xdr:from>
    <xdr:to>
      <xdr:col>4</xdr:col>
      <xdr:colOff>431165</xdr:colOff>
      <xdr:row>16</xdr:row>
      <xdr:rowOff>599440</xdr:rowOff>
    </xdr:to>
    <xdr:cxnSp>
      <xdr:nvCxnSpPr>
        <xdr:cNvPr id="11" name="直接连接符 10"/>
        <xdr:cNvCxnSpPr/>
      </xdr:nvCxnSpPr>
      <xdr:spPr>
        <a:xfrm>
          <a:off x="235585" y="10407015"/>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editAs="oneCell">
    <xdr:from>
      <xdr:col>0</xdr:col>
      <xdr:colOff>635</xdr:colOff>
      <xdr:row>0</xdr:row>
      <xdr:rowOff>756920</xdr:rowOff>
    </xdr:from>
    <xdr:to>
      <xdr:col>33</xdr:col>
      <xdr:colOff>105410</xdr:colOff>
      <xdr:row>1</xdr:row>
      <xdr:rowOff>165100</xdr:rowOff>
    </xdr:to>
    <xdr:pic>
      <xdr:nvPicPr>
        <xdr:cNvPr id="6" name="E657119C-6982-421D-8BA7-E74DEB70A7DB-1"/>
        <xdr:cNvPicPr/>
      </xdr:nvPicPr>
      <xdr:blipFill>
        <a:stretch>
          <a:fillRect/>
        </a:stretch>
      </xdr:blipFill>
      <xdr:spPr>
        <a:xfrm>
          <a:off x="635" y="756920"/>
          <a:ext cx="22107525" cy="179705"/>
        </a:xfrm>
        <a:prstGeom prst="rect">
          <a:avLst/>
        </a:prstGeom>
        <a:noFill/>
        <a:ln w="9525">
          <a:noFill/>
        </a:ln>
      </xdr:spPr>
    </xdr:pic>
    <xdr:clientData/>
  </xdr:twoCellAnchor>
  <xdr:twoCellAnchor editAs="oneCell">
    <xdr:from>
      <xdr:col>0</xdr:col>
      <xdr:colOff>225425</xdr:colOff>
      <xdr:row>5</xdr:row>
      <xdr:rowOff>6985</xdr:rowOff>
    </xdr:from>
    <xdr:to>
      <xdr:col>4</xdr:col>
      <xdr:colOff>167005</xdr:colOff>
      <xdr:row>5</xdr:row>
      <xdr:rowOff>6985</xdr:rowOff>
    </xdr:to>
    <xdr:pic>
      <xdr:nvPicPr>
        <xdr:cNvPr id="9" name="E657119C-6982-421D-8BA7-E74DEB70A7DB-2"/>
        <xdr:cNvPicPr/>
      </xdr:nvPicPr>
      <xdr:blipFill>
        <a:stretch>
          <a:fillRect/>
        </a:stretch>
      </xdr:blipFill>
      <xdr:spPr>
        <a:xfrm>
          <a:off x="225425" y="2804160"/>
          <a:ext cx="2735580" cy="0"/>
        </a:xfrm>
        <a:prstGeom prst="rect">
          <a:avLst/>
        </a:prstGeom>
        <a:noFill/>
        <a:ln w="9525">
          <a:noFill/>
        </a:ln>
      </xdr:spPr>
    </xdr:pic>
    <xdr:clientData/>
  </xdr:twoCellAnchor>
  <xdr:twoCellAnchor editAs="oneCell">
    <xdr:from>
      <xdr:col>0</xdr:col>
      <xdr:colOff>225425</xdr:colOff>
      <xdr:row>6</xdr:row>
      <xdr:rowOff>10160</xdr:rowOff>
    </xdr:from>
    <xdr:to>
      <xdr:col>4</xdr:col>
      <xdr:colOff>167005</xdr:colOff>
      <xdr:row>6</xdr:row>
      <xdr:rowOff>10160</xdr:rowOff>
    </xdr:to>
    <xdr:pic>
      <xdr:nvPicPr>
        <xdr:cNvPr id="13" name="E657119C-6982-421D-8BA7-E74DEB70A7DB-3"/>
        <xdr:cNvPicPr/>
      </xdr:nvPicPr>
      <xdr:blipFill>
        <a:stretch>
          <a:fillRect/>
        </a:stretch>
      </xdr:blipFill>
      <xdr:spPr>
        <a:xfrm>
          <a:off x="225425" y="3597910"/>
          <a:ext cx="2735580" cy="0"/>
        </a:xfrm>
        <a:prstGeom prst="rect">
          <a:avLst/>
        </a:prstGeom>
        <a:noFill/>
        <a:ln w="9525">
          <a:noFill/>
        </a:ln>
      </xdr:spPr>
    </xdr:pic>
    <xdr:clientData/>
  </xdr:twoCellAnchor>
  <xdr:twoCellAnchor editAs="oneCell">
    <xdr:from>
      <xdr:col>0</xdr:col>
      <xdr:colOff>225425</xdr:colOff>
      <xdr:row>9</xdr:row>
      <xdr:rowOff>10795</xdr:rowOff>
    </xdr:from>
    <xdr:to>
      <xdr:col>4</xdr:col>
      <xdr:colOff>167005</xdr:colOff>
      <xdr:row>9</xdr:row>
      <xdr:rowOff>10795</xdr:rowOff>
    </xdr:to>
    <xdr:pic>
      <xdr:nvPicPr>
        <xdr:cNvPr id="15" name="E657119C-6982-421D-8BA7-E74DEB70A7DB-4"/>
        <xdr:cNvPicPr/>
      </xdr:nvPicPr>
      <xdr:blipFill>
        <a:stretch>
          <a:fillRect/>
        </a:stretch>
      </xdr:blipFill>
      <xdr:spPr>
        <a:xfrm>
          <a:off x="225425" y="5386070"/>
          <a:ext cx="2735580" cy="0"/>
        </a:xfrm>
        <a:prstGeom prst="rect">
          <a:avLst/>
        </a:prstGeom>
        <a:noFill/>
        <a:ln w="9525">
          <a:noFill/>
        </a:ln>
      </xdr:spPr>
    </xdr:pic>
    <xdr:clientData/>
  </xdr:twoCellAnchor>
  <xdr:twoCellAnchor editAs="oneCell">
    <xdr:from>
      <xdr:col>0</xdr:col>
      <xdr:colOff>215265</xdr:colOff>
      <xdr:row>15</xdr:row>
      <xdr:rowOff>601980</xdr:rowOff>
    </xdr:from>
    <xdr:to>
      <xdr:col>4</xdr:col>
      <xdr:colOff>156845</xdr:colOff>
      <xdr:row>15</xdr:row>
      <xdr:rowOff>601980</xdr:rowOff>
    </xdr:to>
    <xdr:pic>
      <xdr:nvPicPr>
        <xdr:cNvPr id="17" name="E657119C-6982-421D-8BA7-E74DEB70A7DB-5"/>
        <xdr:cNvPicPr/>
      </xdr:nvPicPr>
      <xdr:blipFill>
        <a:stretch>
          <a:fillRect/>
        </a:stretch>
      </xdr:blipFill>
      <xdr:spPr>
        <a:xfrm>
          <a:off x="215265" y="9628505"/>
          <a:ext cx="2735580" cy="0"/>
        </a:xfrm>
        <a:prstGeom prst="rect">
          <a:avLst/>
        </a:prstGeom>
        <a:noFill/>
        <a:ln w="9525">
          <a:noFill/>
        </a:ln>
      </xdr:spPr>
    </xdr:pic>
    <xdr:clientData/>
  </xdr:twoCellAnchor>
  <xdr:twoCellAnchor editAs="oneCell">
    <xdr:from>
      <xdr:col>0</xdr:col>
      <xdr:colOff>215265</xdr:colOff>
      <xdr:row>15</xdr:row>
      <xdr:rowOff>601980</xdr:rowOff>
    </xdr:from>
    <xdr:to>
      <xdr:col>4</xdr:col>
      <xdr:colOff>156845</xdr:colOff>
      <xdr:row>15</xdr:row>
      <xdr:rowOff>601980</xdr:rowOff>
    </xdr:to>
    <xdr:pic>
      <xdr:nvPicPr>
        <xdr:cNvPr id="19" name="E657119C-6982-421D-8BA7-E74DEB70A7DB-6"/>
        <xdr:cNvPicPr/>
      </xdr:nvPicPr>
      <xdr:blipFill>
        <a:stretch>
          <a:fillRect/>
        </a:stretch>
      </xdr:blipFill>
      <xdr:spPr>
        <a:xfrm>
          <a:off x="215265" y="9628505"/>
          <a:ext cx="2735580" cy="0"/>
        </a:xfrm>
        <a:prstGeom prst="rect">
          <a:avLst/>
        </a:prstGeom>
        <a:noFill/>
        <a:ln w="9525">
          <a:noFill/>
        </a:ln>
      </xdr:spPr>
    </xdr:pic>
    <xdr:clientData/>
  </xdr:twoCellAnchor>
  <xdr:twoCellAnchor editAs="oneCell">
    <xdr:from>
      <xdr:col>0</xdr:col>
      <xdr:colOff>235585</xdr:colOff>
      <xdr:row>16</xdr:row>
      <xdr:rowOff>599440</xdr:rowOff>
    </xdr:from>
    <xdr:to>
      <xdr:col>4</xdr:col>
      <xdr:colOff>177165</xdr:colOff>
      <xdr:row>16</xdr:row>
      <xdr:rowOff>599440</xdr:rowOff>
    </xdr:to>
    <xdr:pic>
      <xdr:nvPicPr>
        <xdr:cNvPr id="21" name="E657119C-6982-421D-8BA7-E74DEB70A7DB-7"/>
        <xdr:cNvPicPr/>
      </xdr:nvPicPr>
      <xdr:blipFill>
        <a:stretch>
          <a:fillRect/>
        </a:stretch>
      </xdr:blipFill>
      <xdr:spPr>
        <a:xfrm>
          <a:off x="235585" y="10407015"/>
          <a:ext cx="2735580" cy="0"/>
        </a:xfrm>
        <a:prstGeom prst="rect">
          <a:avLst/>
        </a:prstGeom>
        <a:noFill/>
        <a:ln w="9525">
          <a:noFill/>
        </a:ln>
      </xdr:spPr>
    </xdr:pic>
    <xdr:clientData/>
  </xdr:twoCellAnchor>
  <xdr:twoCellAnchor editAs="oneCell">
    <xdr:from>
      <xdr:col>0</xdr:col>
      <xdr:colOff>235585</xdr:colOff>
      <xdr:row>16</xdr:row>
      <xdr:rowOff>599440</xdr:rowOff>
    </xdr:from>
    <xdr:to>
      <xdr:col>4</xdr:col>
      <xdr:colOff>177165</xdr:colOff>
      <xdr:row>16</xdr:row>
      <xdr:rowOff>599440</xdr:rowOff>
    </xdr:to>
    <xdr:pic>
      <xdr:nvPicPr>
        <xdr:cNvPr id="23" name="E657119C-6982-421D-8BA7-E74DEB70A7DB-8"/>
        <xdr:cNvPicPr/>
      </xdr:nvPicPr>
      <xdr:blipFill>
        <a:stretch>
          <a:fillRect/>
        </a:stretch>
      </xdr:blipFill>
      <xdr:spPr>
        <a:xfrm>
          <a:off x="235585" y="10407015"/>
          <a:ext cx="2735580" cy="0"/>
        </a:xfrm>
        <a:prstGeom prst="rect">
          <a:avLst/>
        </a:prstGeom>
        <a:noFill/>
        <a:ln w="9525">
          <a:noFill/>
        </a:ln>
      </xdr:spPr>
    </xdr:pic>
    <xdr:clientData/>
  </xdr:twoCellAnchor>
  <xdr:twoCellAnchor>
    <xdr:from>
      <xdr:col>0</xdr:col>
      <xdr:colOff>215265</xdr:colOff>
      <xdr:row>15</xdr:row>
      <xdr:rowOff>601980</xdr:rowOff>
    </xdr:from>
    <xdr:to>
      <xdr:col>4</xdr:col>
      <xdr:colOff>410845</xdr:colOff>
      <xdr:row>15</xdr:row>
      <xdr:rowOff>601980</xdr:rowOff>
    </xdr:to>
    <xdr:cxnSp>
      <xdr:nvCxnSpPr>
        <xdr:cNvPr id="32" name="直接连接符 31"/>
        <xdr:cNvCxnSpPr/>
      </xdr:nvCxnSpPr>
      <xdr:spPr>
        <a:xfrm>
          <a:off x="215265" y="9628505"/>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235585</xdr:colOff>
      <xdr:row>16</xdr:row>
      <xdr:rowOff>599440</xdr:rowOff>
    </xdr:from>
    <xdr:to>
      <xdr:col>4</xdr:col>
      <xdr:colOff>431165</xdr:colOff>
      <xdr:row>16</xdr:row>
      <xdr:rowOff>599440</xdr:rowOff>
    </xdr:to>
    <xdr:cxnSp>
      <xdr:nvCxnSpPr>
        <xdr:cNvPr id="33" name="直接连接符 32"/>
        <xdr:cNvCxnSpPr/>
      </xdr:nvCxnSpPr>
      <xdr:spPr>
        <a:xfrm>
          <a:off x="235585" y="10407015"/>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1</xdr:row>
      <xdr:rowOff>41275</xdr:rowOff>
    </xdr:from>
    <xdr:to>
      <xdr:col>12</xdr:col>
      <xdr:colOff>33020</xdr:colOff>
      <xdr:row>2</xdr:row>
      <xdr:rowOff>1905</xdr:rowOff>
    </xdr:to>
    <xdr:sp>
      <xdr:nvSpPr>
        <xdr:cNvPr id="2" name="矩形 1"/>
        <xdr:cNvSpPr/>
      </xdr:nvSpPr>
      <xdr:spPr>
        <a:xfrm>
          <a:off x="635" y="676275"/>
          <a:ext cx="13181330" cy="227330"/>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225425</xdr:colOff>
      <xdr:row>5</xdr:row>
      <xdr:rowOff>6985</xdr:rowOff>
    </xdr:from>
    <xdr:to>
      <xdr:col>4</xdr:col>
      <xdr:colOff>421005</xdr:colOff>
      <xdr:row>5</xdr:row>
      <xdr:rowOff>6985</xdr:rowOff>
    </xdr:to>
    <xdr:cxnSp>
      <xdr:nvCxnSpPr>
        <xdr:cNvPr id="2" name="直接连接符 1"/>
        <xdr:cNvCxnSpPr/>
      </xdr:nvCxnSpPr>
      <xdr:spPr>
        <a:xfrm>
          <a:off x="225425" y="2737485"/>
          <a:ext cx="2989580"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6</xdr:row>
      <xdr:rowOff>10160</xdr:rowOff>
    </xdr:from>
    <xdr:to>
      <xdr:col>4</xdr:col>
      <xdr:colOff>421005</xdr:colOff>
      <xdr:row>6</xdr:row>
      <xdr:rowOff>10160</xdr:rowOff>
    </xdr:to>
    <xdr:cxnSp>
      <xdr:nvCxnSpPr>
        <xdr:cNvPr id="3" name="直接连接符 2"/>
        <xdr:cNvCxnSpPr/>
      </xdr:nvCxnSpPr>
      <xdr:spPr>
        <a:xfrm>
          <a:off x="225425" y="350266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9</xdr:row>
      <xdr:rowOff>10795</xdr:rowOff>
    </xdr:from>
    <xdr:to>
      <xdr:col>4</xdr:col>
      <xdr:colOff>421005</xdr:colOff>
      <xdr:row>9</xdr:row>
      <xdr:rowOff>10795</xdr:rowOff>
    </xdr:to>
    <xdr:cxnSp>
      <xdr:nvCxnSpPr>
        <xdr:cNvPr id="4" name="直接连接符 3"/>
        <xdr:cNvCxnSpPr/>
      </xdr:nvCxnSpPr>
      <xdr:spPr>
        <a:xfrm>
          <a:off x="225425" y="5281295"/>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215265</xdr:colOff>
      <xdr:row>15</xdr:row>
      <xdr:rowOff>601980</xdr:rowOff>
    </xdr:from>
    <xdr:to>
      <xdr:col>4</xdr:col>
      <xdr:colOff>410845</xdr:colOff>
      <xdr:row>15</xdr:row>
      <xdr:rowOff>601980</xdr:rowOff>
    </xdr:to>
    <xdr:cxnSp>
      <xdr:nvCxnSpPr>
        <xdr:cNvPr id="5" name="直接连接符 4"/>
        <xdr:cNvCxnSpPr/>
      </xdr:nvCxnSpPr>
      <xdr:spPr>
        <a:xfrm>
          <a:off x="215265" y="942848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235585</xdr:colOff>
      <xdr:row>16</xdr:row>
      <xdr:rowOff>599440</xdr:rowOff>
    </xdr:from>
    <xdr:to>
      <xdr:col>4</xdr:col>
      <xdr:colOff>431165</xdr:colOff>
      <xdr:row>16</xdr:row>
      <xdr:rowOff>599440</xdr:rowOff>
    </xdr:to>
    <xdr:cxnSp>
      <xdr:nvCxnSpPr>
        <xdr:cNvPr id="6" name="直接连接符 5"/>
        <xdr:cNvCxnSpPr/>
      </xdr:nvCxnSpPr>
      <xdr:spPr>
        <a:xfrm>
          <a:off x="235585" y="1018794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0</xdr:colOff>
      <xdr:row>1</xdr:row>
      <xdr:rowOff>0</xdr:rowOff>
    </xdr:from>
    <xdr:to>
      <xdr:col>36</xdr:col>
      <xdr:colOff>9525</xdr:colOff>
      <xdr:row>1</xdr:row>
      <xdr:rowOff>179705</xdr:rowOff>
    </xdr:to>
    <xdr:sp>
      <xdr:nvSpPr>
        <xdr:cNvPr id="7" name="矩形 6"/>
        <xdr:cNvSpPr/>
      </xdr:nvSpPr>
      <xdr:spPr>
        <a:xfrm>
          <a:off x="0" y="762000"/>
          <a:ext cx="24107775" cy="17970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225425</xdr:colOff>
      <xdr:row>5</xdr:row>
      <xdr:rowOff>6985</xdr:rowOff>
    </xdr:from>
    <xdr:to>
      <xdr:col>4</xdr:col>
      <xdr:colOff>421005</xdr:colOff>
      <xdr:row>5</xdr:row>
      <xdr:rowOff>6985</xdr:rowOff>
    </xdr:to>
    <xdr:cxnSp>
      <xdr:nvCxnSpPr>
        <xdr:cNvPr id="2" name="直接连接符 1"/>
        <xdr:cNvCxnSpPr/>
      </xdr:nvCxnSpPr>
      <xdr:spPr>
        <a:xfrm>
          <a:off x="225425" y="2737485"/>
          <a:ext cx="2989580"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6</xdr:row>
      <xdr:rowOff>10160</xdr:rowOff>
    </xdr:from>
    <xdr:to>
      <xdr:col>4</xdr:col>
      <xdr:colOff>421005</xdr:colOff>
      <xdr:row>6</xdr:row>
      <xdr:rowOff>10160</xdr:rowOff>
    </xdr:to>
    <xdr:cxnSp>
      <xdr:nvCxnSpPr>
        <xdr:cNvPr id="3" name="直接连接符 2"/>
        <xdr:cNvCxnSpPr/>
      </xdr:nvCxnSpPr>
      <xdr:spPr>
        <a:xfrm>
          <a:off x="225425" y="350266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292100</xdr:colOff>
      <xdr:row>8</xdr:row>
      <xdr:rowOff>534035</xdr:rowOff>
    </xdr:from>
    <xdr:to>
      <xdr:col>4</xdr:col>
      <xdr:colOff>487680</xdr:colOff>
      <xdr:row>8</xdr:row>
      <xdr:rowOff>534035</xdr:rowOff>
    </xdr:to>
    <xdr:cxnSp>
      <xdr:nvCxnSpPr>
        <xdr:cNvPr id="4" name="直接连接符 3"/>
        <xdr:cNvCxnSpPr/>
      </xdr:nvCxnSpPr>
      <xdr:spPr>
        <a:xfrm>
          <a:off x="292100" y="5042535"/>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215265</xdr:colOff>
      <xdr:row>15</xdr:row>
      <xdr:rowOff>601980</xdr:rowOff>
    </xdr:from>
    <xdr:to>
      <xdr:col>4</xdr:col>
      <xdr:colOff>410845</xdr:colOff>
      <xdr:row>15</xdr:row>
      <xdr:rowOff>601980</xdr:rowOff>
    </xdr:to>
    <xdr:cxnSp>
      <xdr:nvCxnSpPr>
        <xdr:cNvPr id="5" name="直接连接符 4"/>
        <xdr:cNvCxnSpPr/>
      </xdr:nvCxnSpPr>
      <xdr:spPr>
        <a:xfrm>
          <a:off x="215265" y="942848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235585</xdr:colOff>
      <xdr:row>16</xdr:row>
      <xdr:rowOff>599440</xdr:rowOff>
    </xdr:from>
    <xdr:to>
      <xdr:col>4</xdr:col>
      <xdr:colOff>431165</xdr:colOff>
      <xdr:row>16</xdr:row>
      <xdr:rowOff>599440</xdr:rowOff>
    </xdr:to>
    <xdr:cxnSp>
      <xdr:nvCxnSpPr>
        <xdr:cNvPr id="6" name="直接连接符 5"/>
        <xdr:cNvCxnSpPr/>
      </xdr:nvCxnSpPr>
      <xdr:spPr>
        <a:xfrm>
          <a:off x="235585" y="1018794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0</xdr:colOff>
      <xdr:row>1</xdr:row>
      <xdr:rowOff>0</xdr:rowOff>
    </xdr:from>
    <xdr:to>
      <xdr:col>36</xdr:col>
      <xdr:colOff>9525</xdr:colOff>
      <xdr:row>1</xdr:row>
      <xdr:rowOff>179705</xdr:rowOff>
    </xdr:to>
    <xdr:sp>
      <xdr:nvSpPr>
        <xdr:cNvPr id="7" name="矩形 6"/>
        <xdr:cNvSpPr/>
      </xdr:nvSpPr>
      <xdr:spPr>
        <a:xfrm>
          <a:off x="0" y="762000"/>
          <a:ext cx="24135080" cy="17970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225425</xdr:colOff>
      <xdr:row>5</xdr:row>
      <xdr:rowOff>6985</xdr:rowOff>
    </xdr:from>
    <xdr:to>
      <xdr:col>4</xdr:col>
      <xdr:colOff>421005</xdr:colOff>
      <xdr:row>5</xdr:row>
      <xdr:rowOff>6985</xdr:rowOff>
    </xdr:to>
    <xdr:cxnSp>
      <xdr:nvCxnSpPr>
        <xdr:cNvPr id="2" name="直接连接符 1"/>
        <xdr:cNvCxnSpPr/>
      </xdr:nvCxnSpPr>
      <xdr:spPr>
        <a:xfrm>
          <a:off x="225425" y="2737485"/>
          <a:ext cx="2989580"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6</xdr:row>
      <xdr:rowOff>10160</xdr:rowOff>
    </xdr:from>
    <xdr:to>
      <xdr:col>4</xdr:col>
      <xdr:colOff>421005</xdr:colOff>
      <xdr:row>6</xdr:row>
      <xdr:rowOff>10160</xdr:rowOff>
    </xdr:to>
    <xdr:cxnSp>
      <xdr:nvCxnSpPr>
        <xdr:cNvPr id="3" name="直接连接符 2"/>
        <xdr:cNvCxnSpPr/>
      </xdr:nvCxnSpPr>
      <xdr:spPr>
        <a:xfrm>
          <a:off x="225425" y="350266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9</xdr:row>
      <xdr:rowOff>10795</xdr:rowOff>
    </xdr:from>
    <xdr:to>
      <xdr:col>4</xdr:col>
      <xdr:colOff>421005</xdr:colOff>
      <xdr:row>9</xdr:row>
      <xdr:rowOff>10795</xdr:rowOff>
    </xdr:to>
    <xdr:cxnSp>
      <xdr:nvCxnSpPr>
        <xdr:cNvPr id="4" name="直接连接符 3"/>
        <xdr:cNvCxnSpPr/>
      </xdr:nvCxnSpPr>
      <xdr:spPr>
        <a:xfrm>
          <a:off x="225425" y="5281295"/>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215265</xdr:colOff>
      <xdr:row>15</xdr:row>
      <xdr:rowOff>601980</xdr:rowOff>
    </xdr:from>
    <xdr:to>
      <xdr:col>4</xdr:col>
      <xdr:colOff>410845</xdr:colOff>
      <xdr:row>15</xdr:row>
      <xdr:rowOff>601980</xdr:rowOff>
    </xdr:to>
    <xdr:cxnSp>
      <xdr:nvCxnSpPr>
        <xdr:cNvPr id="5" name="直接连接符 4"/>
        <xdr:cNvCxnSpPr/>
      </xdr:nvCxnSpPr>
      <xdr:spPr>
        <a:xfrm>
          <a:off x="215265" y="942848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235585</xdr:colOff>
      <xdr:row>16</xdr:row>
      <xdr:rowOff>599440</xdr:rowOff>
    </xdr:from>
    <xdr:to>
      <xdr:col>4</xdr:col>
      <xdr:colOff>431165</xdr:colOff>
      <xdr:row>16</xdr:row>
      <xdr:rowOff>599440</xdr:rowOff>
    </xdr:to>
    <xdr:cxnSp>
      <xdr:nvCxnSpPr>
        <xdr:cNvPr id="6" name="直接连接符 5"/>
        <xdr:cNvCxnSpPr/>
      </xdr:nvCxnSpPr>
      <xdr:spPr>
        <a:xfrm>
          <a:off x="235585" y="1018794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0</xdr:colOff>
      <xdr:row>1</xdr:row>
      <xdr:rowOff>0</xdr:rowOff>
    </xdr:from>
    <xdr:to>
      <xdr:col>36</xdr:col>
      <xdr:colOff>9525</xdr:colOff>
      <xdr:row>1</xdr:row>
      <xdr:rowOff>179705</xdr:rowOff>
    </xdr:to>
    <xdr:sp>
      <xdr:nvSpPr>
        <xdr:cNvPr id="7" name="矩形 6"/>
        <xdr:cNvSpPr/>
      </xdr:nvSpPr>
      <xdr:spPr>
        <a:xfrm>
          <a:off x="0" y="762000"/>
          <a:ext cx="24107775" cy="17970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editAs="oneCell">
    <xdr:from>
      <xdr:col>34</xdr:col>
      <xdr:colOff>544195</xdr:colOff>
      <xdr:row>8</xdr:row>
      <xdr:rowOff>147955</xdr:rowOff>
    </xdr:from>
    <xdr:to>
      <xdr:col>35</xdr:col>
      <xdr:colOff>595630</xdr:colOff>
      <xdr:row>9</xdr:row>
      <xdr:rowOff>624205</xdr:rowOff>
    </xdr:to>
    <xdr:pic>
      <xdr:nvPicPr>
        <xdr:cNvPr id="8" name="图片 7" descr="炼金术师"/>
        <xdr:cNvPicPr>
          <a:picLocks noChangeAspect="1"/>
        </xdr:cNvPicPr>
      </xdr:nvPicPr>
      <xdr:blipFill>
        <a:blip r:embed="rId1"/>
        <a:stretch>
          <a:fillRect/>
        </a:stretch>
      </xdr:blipFill>
      <xdr:spPr>
        <a:xfrm>
          <a:off x="23245445" y="4656455"/>
          <a:ext cx="749935" cy="1238250"/>
        </a:xfrm>
        <a:prstGeom prst="rect">
          <a:avLst/>
        </a:prstGeom>
      </xdr:spPr>
    </xdr:pic>
    <xdr:clientData/>
  </xdr:twoCellAnchor>
  <xdr:twoCellAnchor>
    <xdr:from>
      <xdr:col>0</xdr:col>
      <xdr:colOff>215265</xdr:colOff>
      <xdr:row>15</xdr:row>
      <xdr:rowOff>601980</xdr:rowOff>
    </xdr:from>
    <xdr:to>
      <xdr:col>4</xdr:col>
      <xdr:colOff>410845</xdr:colOff>
      <xdr:row>15</xdr:row>
      <xdr:rowOff>601980</xdr:rowOff>
    </xdr:to>
    <xdr:cxnSp>
      <xdr:nvCxnSpPr>
        <xdr:cNvPr id="9" name="直接连接符 8"/>
        <xdr:cNvCxnSpPr/>
      </xdr:nvCxnSpPr>
      <xdr:spPr>
        <a:xfrm>
          <a:off x="215265" y="942848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235585</xdr:colOff>
      <xdr:row>16</xdr:row>
      <xdr:rowOff>599440</xdr:rowOff>
    </xdr:from>
    <xdr:to>
      <xdr:col>4</xdr:col>
      <xdr:colOff>431165</xdr:colOff>
      <xdr:row>16</xdr:row>
      <xdr:rowOff>599440</xdr:rowOff>
    </xdr:to>
    <xdr:cxnSp>
      <xdr:nvCxnSpPr>
        <xdr:cNvPr id="10" name="直接连接符 9"/>
        <xdr:cNvCxnSpPr/>
      </xdr:nvCxnSpPr>
      <xdr:spPr>
        <a:xfrm>
          <a:off x="235585" y="1018794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0</xdr:col>
      <xdr:colOff>225425</xdr:colOff>
      <xdr:row>5</xdr:row>
      <xdr:rowOff>6985</xdr:rowOff>
    </xdr:from>
    <xdr:to>
      <xdr:col>4</xdr:col>
      <xdr:colOff>421005</xdr:colOff>
      <xdr:row>5</xdr:row>
      <xdr:rowOff>6985</xdr:rowOff>
    </xdr:to>
    <xdr:cxnSp>
      <xdr:nvCxnSpPr>
        <xdr:cNvPr id="2" name="直接连接符 1"/>
        <xdr:cNvCxnSpPr/>
      </xdr:nvCxnSpPr>
      <xdr:spPr>
        <a:xfrm>
          <a:off x="225425" y="2737485"/>
          <a:ext cx="2989580"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6</xdr:row>
      <xdr:rowOff>10160</xdr:rowOff>
    </xdr:from>
    <xdr:to>
      <xdr:col>4</xdr:col>
      <xdr:colOff>421005</xdr:colOff>
      <xdr:row>6</xdr:row>
      <xdr:rowOff>10160</xdr:rowOff>
    </xdr:to>
    <xdr:cxnSp>
      <xdr:nvCxnSpPr>
        <xdr:cNvPr id="3" name="直接连接符 2"/>
        <xdr:cNvCxnSpPr/>
      </xdr:nvCxnSpPr>
      <xdr:spPr>
        <a:xfrm>
          <a:off x="225425" y="350266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9</xdr:row>
      <xdr:rowOff>10795</xdr:rowOff>
    </xdr:from>
    <xdr:to>
      <xdr:col>4</xdr:col>
      <xdr:colOff>421005</xdr:colOff>
      <xdr:row>9</xdr:row>
      <xdr:rowOff>10795</xdr:rowOff>
    </xdr:to>
    <xdr:cxnSp>
      <xdr:nvCxnSpPr>
        <xdr:cNvPr id="4" name="直接连接符 3"/>
        <xdr:cNvCxnSpPr/>
      </xdr:nvCxnSpPr>
      <xdr:spPr>
        <a:xfrm>
          <a:off x="225425" y="5281295"/>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215265</xdr:colOff>
      <xdr:row>15</xdr:row>
      <xdr:rowOff>601980</xdr:rowOff>
    </xdr:from>
    <xdr:to>
      <xdr:col>4</xdr:col>
      <xdr:colOff>410845</xdr:colOff>
      <xdr:row>15</xdr:row>
      <xdr:rowOff>601980</xdr:rowOff>
    </xdr:to>
    <xdr:cxnSp>
      <xdr:nvCxnSpPr>
        <xdr:cNvPr id="5" name="直接连接符 4"/>
        <xdr:cNvCxnSpPr/>
      </xdr:nvCxnSpPr>
      <xdr:spPr>
        <a:xfrm>
          <a:off x="215265" y="942848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235585</xdr:colOff>
      <xdr:row>16</xdr:row>
      <xdr:rowOff>599440</xdr:rowOff>
    </xdr:from>
    <xdr:to>
      <xdr:col>4</xdr:col>
      <xdr:colOff>431165</xdr:colOff>
      <xdr:row>16</xdr:row>
      <xdr:rowOff>599440</xdr:rowOff>
    </xdr:to>
    <xdr:cxnSp>
      <xdr:nvCxnSpPr>
        <xdr:cNvPr id="6" name="直接连接符 5"/>
        <xdr:cNvCxnSpPr/>
      </xdr:nvCxnSpPr>
      <xdr:spPr>
        <a:xfrm>
          <a:off x="235585" y="1018794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0</xdr:colOff>
      <xdr:row>1</xdr:row>
      <xdr:rowOff>0</xdr:rowOff>
    </xdr:from>
    <xdr:to>
      <xdr:col>36</xdr:col>
      <xdr:colOff>9525</xdr:colOff>
      <xdr:row>1</xdr:row>
      <xdr:rowOff>179705</xdr:rowOff>
    </xdr:to>
    <xdr:sp>
      <xdr:nvSpPr>
        <xdr:cNvPr id="7" name="矩形 6"/>
        <xdr:cNvSpPr/>
      </xdr:nvSpPr>
      <xdr:spPr>
        <a:xfrm>
          <a:off x="0" y="762000"/>
          <a:ext cx="23745190" cy="17970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225425</xdr:colOff>
      <xdr:row>5</xdr:row>
      <xdr:rowOff>6985</xdr:rowOff>
    </xdr:from>
    <xdr:to>
      <xdr:col>4</xdr:col>
      <xdr:colOff>421005</xdr:colOff>
      <xdr:row>5</xdr:row>
      <xdr:rowOff>6985</xdr:rowOff>
    </xdr:to>
    <xdr:cxnSp>
      <xdr:nvCxnSpPr>
        <xdr:cNvPr id="2" name="直接连接符 1"/>
        <xdr:cNvCxnSpPr/>
      </xdr:nvCxnSpPr>
      <xdr:spPr>
        <a:xfrm>
          <a:off x="225425" y="2766060"/>
          <a:ext cx="2989580"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6</xdr:row>
      <xdr:rowOff>10160</xdr:rowOff>
    </xdr:from>
    <xdr:to>
      <xdr:col>4</xdr:col>
      <xdr:colOff>421005</xdr:colOff>
      <xdr:row>6</xdr:row>
      <xdr:rowOff>10160</xdr:rowOff>
    </xdr:to>
    <xdr:cxnSp>
      <xdr:nvCxnSpPr>
        <xdr:cNvPr id="3" name="直接连接符 2"/>
        <xdr:cNvCxnSpPr/>
      </xdr:nvCxnSpPr>
      <xdr:spPr>
        <a:xfrm>
          <a:off x="225425" y="3531235"/>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9</xdr:row>
      <xdr:rowOff>10795</xdr:rowOff>
    </xdr:from>
    <xdr:to>
      <xdr:col>4</xdr:col>
      <xdr:colOff>421005</xdr:colOff>
      <xdr:row>9</xdr:row>
      <xdr:rowOff>10795</xdr:rowOff>
    </xdr:to>
    <xdr:cxnSp>
      <xdr:nvCxnSpPr>
        <xdr:cNvPr id="4" name="直接连接符 3"/>
        <xdr:cNvCxnSpPr/>
      </xdr:nvCxnSpPr>
      <xdr:spPr>
        <a:xfrm>
          <a:off x="225425" y="5375275"/>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215265</xdr:colOff>
      <xdr:row>15</xdr:row>
      <xdr:rowOff>601980</xdr:rowOff>
    </xdr:from>
    <xdr:to>
      <xdr:col>4</xdr:col>
      <xdr:colOff>410845</xdr:colOff>
      <xdr:row>15</xdr:row>
      <xdr:rowOff>601980</xdr:rowOff>
    </xdr:to>
    <xdr:cxnSp>
      <xdr:nvCxnSpPr>
        <xdr:cNvPr id="5" name="直接连接符 4"/>
        <xdr:cNvCxnSpPr/>
      </xdr:nvCxnSpPr>
      <xdr:spPr>
        <a:xfrm>
          <a:off x="215265" y="952246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235585</xdr:colOff>
      <xdr:row>16</xdr:row>
      <xdr:rowOff>599440</xdr:rowOff>
    </xdr:from>
    <xdr:to>
      <xdr:col>4</xdr:col>
      <xdr:colOff>431165</xdr:colOff>
      <xdr:row>16</xdr:row>
      <xdr:rowOff>599440</xdr:rowOff>
    </xdr:to>
    <xdr:cxnSp>
      <xdr:nvCxnSpPr>
        <xdr:cNvPr id="6" name="直接连接符 5"/>
        <xdr:cNvCxnSpPr/>
      </xdr:nvCxnSpPr>
      <xdr:spPr>
        <a:xfrm>
          <a:off x="235585" y="1028192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0</xdr:colOff>
      <xdr:row>1</xdr:row>
      <xdr:rowOff>0</xdr:rowOff>
    </xdr:from>
    <xdr:to>
      <xdr:col>26</xdr:col>
      <xdr:colOff>9525</xdr:colOff>
      <xdr:row>1</xdr:row>
      <xdr:rowOff>179705</xdr:rowOff>
    </xdr:to>
    <xdr:sp>
      <xdr:nvSpPr>
        <xdr:cNvPr id="7" name="矩形 6"/>
        <xdr:cNvSpPr/>
      </xdr:nvSpPr>
      <xdr:spPr>
        <a:xfrm>
          <a:off x="0" y="771525"/>
          <a:ext cx="16760190" cy="17970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225425</xdr:colOff>
      <xdr:row>5</xdr:row>
      <xdr:rowOff>6985</xdr:rowOff>
    </xdr:from>
    <xdr:to>
      <xdr:col>4</xdr:col>
      <xdr:colOff>421005</xdr:colOff>
      <xdr:row>5</xdr:row>
      <xdr:rowOff>6985</xdr:rowOff>
    </xdr:to>
    <xdr:cxnSp>
      <xdr:nvCxnSpPr>
        <xdr:cNvPr id="2" name="直接连接符 1"/>
        <xdr:cNvCxnSpPr/>
      </xdr:nvCxnSpPr>
      <xdr:spPr>
        <a:xfrm>
          <a:off x="225425" y="2737485"/>
          <a:ext cx="2989580"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6</xdr:row>
      <xdr:rowOff>10160</xdr:rowOff>
    </xdr:from>
    <xdr:to>
      <xdr:col>4</xdr:col>
      <xdr:colOff>421005</xdr:colOff>
      <xdr:row>6</xdr:row>
      <xdr:rowOff>10160</xdr:rowOff>
    </xdr:to>
    <xdr:cxnSp>
      <xdr:nvCxnSpPr>
        <xdr:cNvPr id="3" name="直接连接符 2"/>
        <xdr:cNvCxnSpPr/>
      </xdr:nvCxnSpPr>
      <xdr:spPr>
        <a:xfrm>
          <a:off x="225425" y="350266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9</xdr:row>
      <xdr:rowOff>10795</xdr:rowOff>
    </xdr:from>
    <xdr:to>
      <xdr:col>4</xdr:col>
      <xdr:colOff>421005</xdr:colOff>
      <xdr:row>9</xdr:row>
      <xdr:rowOff>10795</xdr:rowOff>
    </xdr:to>
    <xdr:cxnSp>
      <xdr:nvCxnSpPr>
        <xdr:cNvPr id="4" name="直接连接符 3"/>
        <xdr:cNvCxnSpPr/>
      </xdr:nvCxnSpPr>
      <xdr:spPr>
        <a:xfrm>
          <a:off x="225425" y="5281295"/>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215265</xdr:colOff>
      <xdr:row>15</xdr:row>
      <xdr:rowOff>601980</xdr:rowOff>
    </xdr:from>
    <xdr:to>
      <xdr:col>4</xdr:col>
      <xdr:colOff>410845</xdr:colOff>
      <xdr:row>15</xdr:row>
      <xdr:rowOff>601980</xdr:rowOff>
    </xdr:to>
    <xdr:cxnSp>
      <xdr:nvCxnSpPr>
        <xdr:cNvPr id="5" name="直接连接符 4"/>
        <xdr:cNvCxnSpPr/>
      </xdr:nvCxnSpPr>
      <xdr:spPr>
        <a:xfrm>
          <a:off x="215265" y="942848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235585</xdr:colOff>
      <xdr:row>16</xdr:row>
      <xdr:rowOff>599440</xdr:rowOff>
    </xdr:from>
    <xdr:to>
      <xdr:col>4</xdr:col>
      <xdr:colOff>431165</xdr:colOff>
      <xdr:row>16</xdr:row>
      <xdr:rowOff>599440</xdr:rowOff>
    </xdr:to>
    <xdr:cxnSp>
      <xdr:nvCxnSpPr>
        <xdr:cNvPr id="6" name="直接连接符 5"/>
        <xdr:cNvCxnSpPr/>
      </xdr:nvCxnSpPr>
      <xdr:spPr>
        <a:xfrm>
          <a:off x="235585" y="1018794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0</xdr:colOff>
      <xdr:row>1</xdr:row>
      <xdr:rowOff>0</xdr:rowOff>
    </xdr:from>
    <xdr:to>
      <xdr:col>36</xdr:col>
      <xdr:colOff>9525</xdr:colOff>
      <xdr:row>1</xdr:row>
      <xdr:rowOff>179705</xdr:rowOff>
    </xdr:to>
    <xdr:sp>
      <xdr:nvSpPr>
        <xdr:cNvPr id="7" name="矩形 6"/>
        <xdr:cNvSpPr/>
      </xdr:nvSpPr>
      <xdr:spPr>
        <a:xfrm>
          <a:off x="0" y="762000"/>
          <a:ext cx="24107775" cy="17970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0</xdr:col>
      <xdr:colOff>225425</xdr:colOff>
      <xdr:row>5</xdr:row>
      <xdr:rowOff>6985</xdr:rowOff>
    </xdr:from>
    <xdr:to>
      <xdr:col>4</xdr:col>
      <xdr:colOff>421005</xdr:colOff>
      <xdr:row>5</xdr:row>
      <xdr:rowOff>6985</xdr:rowOff>
    </xdr:to>
    <xdr:cxnSp>
      <xdr:nvCxnSpPr>
        <xdr:cNvPr id="3" name="直接连接符 2"/>
        <xdr:cNvCxnSpPr/>
      </xdr:nvCxnSpPr>
      <xdr:spPr>
        <a:xfrm>
          <a:off x="225425" y="2737485"/>
          <a:ext cx="2989580"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6</xdr:row>
      <xdr:rowOff>10160</xdr:rowOff>
    </xdr:from>
    <xdr:to>
      <xdr:col>4</xdr:col>
      <xdr:colOff>421005</xdr:colOff>
      <xdr:row>6</xdr:row>
      <xdr:rowOff>10160</xdr:rowOff>
    </xdr:to>
    <xdr:cxnSp>
      <xdr:nvCxnSpPr>
        <xdr:cNvPr id="4" name="直接连接符 3"/>
        <xdr:cNvCxnSpPr/>
      </xdr:nvCxnSpPr>
      <xdr:spPr>
        <a:xfrm>
          <a:off x="225425" y="350266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9</xdr:row>
      <xdr:rowOff>10795</xdr:rowOff>
    </xdr:from>
    <xdr:to>
      <xdr:col>4</xdr:col>
      <xdr:colOff>421005</xdr:colOff>
      <xdr:row>9</xdr:row>
      <xdr:rowOff>10795</xdr:rowOff>
    </xdr:to>
    <xdr:cxnSp>
      <xdr:nvCxnSpPr>
        <xdr:cNvPr id="5" name="直接连接符 4"/>
        <xdr:cNvCxnSpPr/>
      </xdr:nvCxnSpPr>
      <xdr:spPr>
        <a:xfrm>
          <a:off x="225425" y="5281295"/>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215265</xdr:colOff>
      <xdr:row>15</xdr:row>
      <xdr:rowOff>601980</xdr:rowOff>
    </xdr:from>
    <xdr:to>
      <xdr:col>4</xdr:col>
      <xdr:colOff>410845</xdr:colOff>
      <xdr:row>15</xdr:row>
      <xdr:rowOff>601980</xdr:rowOff>
    </xdr:to>
    <xdr:cxnSp>
      <xdr:nvCxnSpPr>
        <xdr:cNvPr id="6" name="直接连接符 5"/>
        <xdr:cNvCxnSpPr/>
      </xdr:nvCxnSpPr>
      <xdr:spPr>
        <a:xfrm>
          <a:off x="215265" y="942848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235585</xdr:colOff>
      <xdr:row>16</xdr:row>
      <xdr:rowOff>599440</xdr:rowOff>
    </xdr:from>
    <xdr:to>
      <xdr:col>4</xdr:col>
      <xdr:colOff>431165</xdr:colOff>
      <xdr:row>16</xdr:row>
      <xdr:rowOff>599440</xdr:rowOff>
    </xdr:to>
    <xdr:cxnSp>
      <xdr:nvCxnSpPr>
        <xdr:cNvPr id="7" name="直接连接符 6"/>
        <xdr:cNvCxnSpPr/>
      </xdr:nvCxnSpPr>
      <xdr:spPr>
        <a:xfrm>
          <a:off x="235585" y="1018794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0</xdr:colOff>
      <xdr:row>1</xdr:row>
      <xdr:rowOff>0</xdr:rowOff>
    </xdr:from>
    <xdr:to>
      <xdr:col>36</xdr:col>
      <xdr:colOff>9525</xdr:colOff>
      <xdr:row>1</xdr:row>
      <xdr:rowOff>179705</xdr:rowOff>
    </xdr:to>
    <xdr:sp>
      <xdr:nvSpPr>
        <xdr:cNvPr id="10" name="矩形 9"/>
        <xdr:cNvSpPr/>
      </xdr:nvSpPr>
      <xdr:spPr>
        <a:xfrm>
          <a:off x="0" y="762000"/>
          <a:ext cx="24107775" cy="17970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0</xdr:col>
      <xdr:colOff>225425</xdr:colOff>
      <xdr:row>5</xdr:row>
      <xdr:rowOff>6985</xdr:rowOff>
    </xdr:from>
    <xdr:to>
      <xdr:col>4</xdr:col>
      <xdr:colOff>421005</xdr:colOff>
      <xdr:row>5</xdr:row>
      <xdr:rowOff>6985</xdr:rowOff>
    </xdr:to>
    <xdr:cxnSp>
      <xdr:nvCxnSpPr>
        <xdr:cNvPr id="3" name="直接连接符 2"/>
        <xdr:cNvCxnSpPr/>
      </xdr:nvCxnSpPr>
      <xdr:spPr>
        <a:xfrm>
          <a:off x="225425" y="2737485"/>
          <a:ext cx="2989580"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6</xdr:row>
      <xdr:rowOff>10160</xdr:rowOff>
    </xdr:from>
    <xdr:to>
      <xdr:col>4</xdr:col>
      <xdr:colOff>421005</xdr:colOff>
      <xdr:row>6</xdr:row>
      <xdr:rowOff>10160</xdr:rowOff>
    </xdr:to>
    <xdr:cxnSp>
      <xdr:nvCxnSpPr>
        <xdr:cNvPr id="4" name="直接连接符 3"/>
        <xdr:cNvCxnSpPr/>
      </xdr:nvCxnSpPr>
      <xdr:spPr>
        <a:xfrm>
          <a:off x="225425" y="364236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9</xdr:row>
      <xdr:rowOff>10795</xdr:rowOff>
    </xdr:from>
    <xdr:to>
      <xdr:col>4</xdr:col>
      <xdr:colOff>421005</xdr:colOff>
      <xdr:row>9</xdr:row>
      <xdr:rowOff>10795</xdr:rowOff>
    </xdr:to>
    <xdr:cxnSp>
      <xdr:nvCxnSpPr>
        <xdr:cNvPr id="5" name="直接连接符 4"/>
        <xdr:cNvCxnSpPr/>
      </xdr:nvCxnSpPr>
      <xdr:spPr>
        <a:xfrm>
          <a:off x="225425" y="5420995"/>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215265</xdr:colOff>
      <xdr:row>15</xdr:row>
      <xdr:rowOff>601980</xdr:rowOff>
    </xdr:from>
    <xdr:to>
      <xdr:col>4</xdr:col>
      <xdr:colOff>410845</xdr:colOff>
      <xdr:row>15</xdr:row>
      <xdr:rowOff>601980</xdr:rowOff>
    </xdr:to>
    <xdr:cxnSp>
      <xdr:nvCxnSpPr>
        <xdr:cNvPr id="6" name="直接连接符 5"/>
        <xdr:cNvCxnSpPr/>
      </xdr:nvCxnSpPr>
      <xdr:spPr>
        <a:xfrm>
          <a:off x="215265" y="973328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235585</xdr:colOff>
      <xdr:row>16</xdr:row>
      <xdr:rowOff>599440</xdr:rowOff>
    </xdr:from>
    <xdr:to>
      <xdr:col>4</xdr:col>
      <xdr:colOff>431165</xdr:colOff>
      <xdr:row>16</xdr:row>
      <xdr:rowOff>599440</xdr:rowOff>
    </xdr:to>
    <xdr:cxnSp>
      <xdr:nvCxnSpPr>
        <xdr:cNvPr id="7" name="直接连接符 6"/>
        <xdr:cNvCxnSpPr/>
      </xdr:nvCxnSpPr>
      <xdr:spPr>
        <a:xfrm>
          <a:off x="235585" y="10492740"/>
          <a:ext cx="29895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0</xdr:colOff>
      <xdr:row>1</xdr:row>
      <xdr:rowOff>0</xdr:rowOff>
    </xdr:from>
    <xdr:to>
      <xdr:col>36</xdr:col>
      <xdr:colOff>9525</xdr:colOff>
      <xdr:row>1</xdr:row>
      <xdr:rowOff>179705</xdr:rowOff>
    </xdr:to>
    <xdr:sp>
      <xdr:nvSpPr>
        <xdr:cNvPr id="8" name="矩形 7"/>
        <xdr:cNvSpPr/>
      </xdr:nvSpPr>
      <xdr:spPr>
        <a:xfrm>
          <a:off x="0" y="762000"/>
          <a:ext cx="24788495" cy="17970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xdr:from>
      <xdr:col>0</xdr:col>
      <xdr:colOff>7620</xdr:colOff>
      <xdr:row>0</xdr:row>
      <xdr:rowOff>734060</xdr:rowOff>
    </xdr:from>
    <xdr:to>
      <xdr:col>36</xdr:col>
      <xdr:colOff>17145</xdr:colOff>
      <xdr:row>1</xdr:row>
      <xdr:rowOff>151765</xdr:rowOff>
    </xdr:to>
    <xdr:sp>
      <xdr:nvSpPr>
        <xdr:cNvPr id="2" name="矩形 1"/>
        <xdr:cNvSpPr/>
      </xdr:nvSpPr>
      <xdr:spPr>
        <a:xfrm>
          <a:off x="7620" y="734060"/>
          <a:ext cx="21600160" cy="19240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225425</xdr:colOff>
      <xdr:row>5</xdr:row>
      <xdr:rowOff>6985</xdr:rowOff>
    </xdr:from>
    <xdr:to>
      <xdr:col>4</xdr:col>
      <xdr:colOff>421005</xdr:colOff>
      <xdr:row>5</xdr:row>
      <xdr:rowOff>6985</xdr:rowOff>
    </xdr:to>
    <xdr:cxnSp>
      <xdr:nvCxnSpPr>
        <xdr:cNvPr id="3" name="直接连接符 2"/>
        <xdr:cNvCxnSpPr/>
      </xdr:nvCxnSpPr>
      <xdr:spPr>
        <a:xfrm>
          <a:off x="225425" y="2343785"/>
          <a:ext cx="2697480"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6</xdr:row>
      <xdr:rowOff>10160</xdr:rowOff>
    </xdr:from>
    <xdr:to>
      <xdr:col>4</xdr:col>
      <xdr:colOff>421005</xdr:colOff>
      <xdr:row>6</xdr:row>
      <xdr:rowOff>10160</xdr:rowOff>
    </xdr:to>
    <xdr:cxnSp>
      <xdr:nvCxnSpPr>
        <xdr:cNvPr id="4" name="直接连接符 3"/>
        <xdr:cNvCxnSpPr/>
      </xdr:nvCxnSpPr>
      <xdr:spPr>
        <a:xfrm>
          <a:off x="225425" y="3235960"/>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9</xdr:row>
      <xdr:rowOff>10795</xdr:rowOff>
    </xdr:from>
    <xdr:to>
      <xdr:col>4</xdr:col>
      <xdr:colOff>421005</xdr:colOff>
      <xdr:row>9</xdr:row>
      <xdr:rowOff>10795</xdr:rowOff>
    </xdr:to>
    <xdr:cxnSp>
      <xdr:nvCxnSpPr>
        <xdr:cNvPr id="5" name="直接连接符 4"/>
        <xdr:cNvCxnSpPr/>
      </xdr:nvCxnSpPr>
      <xdr:spPr>
        <a:xfrm>
          <a:off x="225425" y="4646295"/>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215265</xdr:colOff>
      <xdr:row>15</xdr:row>
      <xdr:rowOff>601980</xdr:rowOff>
    </xdr:from>
    <xdr:to>
      <xdr:col>4</xdr:col>
      <xdr:colOff>410845</xdr:colOff>
      <xdr:row>15</xdr:row>
      <xdr:rowOff>601980</xdr:rowOff>
    </xdr:to>
    <xdr:cxnSp>
      <xdr:nvCxnSpPr>
        <xdr:cNvPr id="6" name="直接连接符 5"/>
        <xdr:cNvCxnSpPr/>
      </xdr:nvCxnSpPr>
      <xdr:spPr>
        <a:xfrm>
          <a:off x="215265" y="8615680"/>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235585</xdr:colOff>
      <xdr:row>16</xdr:row>
      <xdr:rowOff>599440</xdr:rowOff>
    </xdr:from>
    <xdr:to>
      <xdr:col>4</xdr:col>
      <xdr:colOff>431165</xdr:colOff>
      <xdr:row>16</xdr:row>
      <xdr:rowOff>599440</xdr:rowOff>
    </xdr:to>
    <xdr:cxnSp>
      <xdr:nvCxnSpPr>
        <xdr:cNvPr id="7" name="直接连接符 6"/>
        <xdr:cNvCxnSpPr/>
      </xdr:nvCxnSpPr>
      <xdr:spPr>
        <a:xfrm>
          <a:off x="235585" y="9222740"/>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0</xdr:col>
      <xdr:colOff>225425</xdr:colOff>
      <xdr:row>5</xdr:row>
      <xdr:rowOff>6985</xdr:rowOff>
    </xdr:from>
    <xdr:to>
      <xdr:col>4</xdr:col>
      <xdr:colOff>421005</xdr:colOff>
      <xdr:row>5</xdr:row>
      <xdr:rowOff>6985</xdr:rowOff>
    </xdr:to>
    <xdr:cxnSp>
      <xdr:nvCxnSpPr>
        <xdr:cNvPr id="2" name="直接连接符 1"/>
        <xdr:cNvCxnSpPr/>
      </xdr:nvCxnSpPr>
      <xdr:spPr>
        <a:xfrm>
          <a:off x="225425" y="2343785"/>
          <a:ext cx="2697480"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6</xdr:row>
      <xdr:rowOff>10160</xdr:rowOff>
    </xdr:from>
    <xdr:to>
      <xdr:col>4</xdr:col>
      <xdr:colOff>421005</xdr:colOff>
      <xdr:row>6</xdr:row>
      <xdr:rowOff>10160</xdr:rowOff>
    </xdr:to>
    <xdr:cxnSp>
      <xdr:nvCxnSpPr>
        <xdr:cNvPr id="3" name="直接连接符 2"/>
        <xdr:cNvCxnSpPr/>
      </xdr:nvCxnSpPr>
      <xdr:spPr>
        <a:xfrm>
          <a:off x="225425" y="3235960"/>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9</xdr:row>
      <xdr:rowOff>10795</xdr:rowOff>
    </xdr:from>
    <xdr:to>
      <xdr:col>4</xdr:col>
      <xdr:colOff>421005</xdr:colOff>
      <xdr:row>9</xdr:row>
      <xdr:rowOff>10795</xdr:rowOff>
    </xdr:to>
    <xdr:cxnSp>
      <xdr:nvCxnSpPr>
        <xdr:cNvPr id="4" name="直接连接符 3"/>
        <xdr:cNvCxnSpPr/>
      </xdr:nvCxnSpPr>
      <xdr:spPr>
        <a:xfrm>
          <a:off x="225425" y="4646295"/>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215265</xdr:colOff>
      <xdr:row>15</xdr:row>
      <xdr:rowOff>601980</xdr:rowOff>
    </xdr:from>
    <xdr:to>
      <xdr:col>4</xdr:col>
      <xdr:colOff>410845</xdr:colOff>
      <xdr:row>15</xdr:row>
      <xdr:rowOff>601980</xdr:rowOff>
    </xdr:to>
    <xdr:cxnSp>
      <xdr:nvCxnSpPr>
        <xdr:cNvPr id="5" name="直接连接符 4"/>
        <xdr:cNvCxnSpPr/>
      </xdr:nvCxnSpPr>
      <xdr:spPr>
        <a:xfrm>
          <a:off x="215265" y="8615680"/>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235585</xdr:colOff>
      <xdr:row>16</xdr:row>
      <xdr:rowOff>599440</xdr:rowOff>
    </xdr:from>
    <xdr:to>
      <xdr:col>4</xdr:col>
      <xdr:colOff>431165</xdr:colOff>
      <xdr:row>16</xdr:row>
      <xdr:rowOff>599440</xdr:rowOff>
    </xdr:to>
    <xdr:cxnSp>
      <xdr:nvCxnSpPr>
        <xdr:cNvPr id="6" name="直接连接符 5"/>
        <xdr:cNvCxnSpPr/>
      </xdr:nvCxnSpPr>
      <xdr:spPr>
        <a:xfrm>
          <a:off x="235585" y="9222740"/>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7620</xdr:colOff>
      <xdr:row>0</xdr:row>
      <xdr:rowOff>727075</xdr:rowOff>
    </xdr:from>
    <xdr:to>
      <xdr:col>36</xdr:col>
      <xdr:colOff>10160</xdr:colOff>
      <xdr:row>2</xdr:row>
      <xdr:rowOff>17145</xdr:rowOff>
    </xdr:to>
    <xdr:sp>
      <xdr:nvSpPr>
        <xdr:cNvPr id="7" name="矩形 6"/>
        <xdr:cNvSpPr/>
      </xdr:nvSpPr>
      <xdr:spPr>
        <a:xfrm>
          <a:off x="7620" y="727075"/>
          <a:ext cx="21593175" cy="217170"/>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xdr:from>
      <xdr:col>0</xdr:col>
      <xdr:colOff>7620</xdr:colOff>
      <xdr:row>0</xdr:row>
      <xdr:rowOff>734060</xdr:rowOff>
    </xdr:from>
    <xdr:to>
      <xdr:col>36</xdr:col>
      <xdr:colOff>17145</xdr:colOff>
      <xdr:row>1</xdr:row>
      <xdr:rowOff>151765</xdr:rowOff>
    </xdr:to>
    <xdr:sp>
      <xdr:nvSpPr>
        <xdr:cNvPr id="2" name="矩形 1"/>
        <xdr:cNvSpPr/>
      </xdr:nvSpPr>
      <xdr:spPr>
        <a:xfrm>
          <a:off x="7620" y="734060"/>
          <a:ext cx="21600160" cy="19240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225425</xdr:colOff>
      <xdr:row>5</xdr:row>
      <xdr:rowOff>6985</xdr:rowOff>
    </xdr:from>
    <xdr:to>
      <xdr:col>4</xdr:col>
      <xdr:colOff>421005</xdr:colOff>
      <xdr:row>5</xdr:row>
      <xdr:rowOff>6985</xdr:rowOff>
    </xdr:to>
    <xdr:cxnSp>
      <xdr:nvCxnSpPr>
        <xdr:cNvPr id="3" name="直接连接符 2"/>
        <xdr:cNvCxnSpPr/>
      </xdr:nvCxnSpPr>
      <xdr:spPr>
        <a:xfrm>
          <a:off x="225425" y="2505710"/>
          <a:ext cx="2697480"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6</xdr:row>
      <xdr:rowOff>10160</xdr:rowOff>
    </xdr:from>
    <xdr:to>
      <xdr:col>4</xdr:col>
      <xdr:colOff>421005</xdr:colOff>
      <xdr:row>6</xdr:row>
      <xdr:rowOff>10160</xdr:rowOff>
    </xdr:to>
    <xdr:cxnSp>
      <xdr:nvCxnSpPr>
        <xdr:cNvPr id="4" name="直接连接符 3"/>
        <xdr:cNvCxnSpPr/>
      </xdr:nvCxnSpPr>
      <xdr:spPr>
        <a:xfrm>
          <a:off x="225425" y="3416935"/>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9</xdr:row>
      <xdr:rowOff>10795</xdr:rowOff>
    </xdr:from>
    <xdr:to>
      <xdr:col>4</xdr:col>
      <xdr:colOff>421005</xdr:colOff>
      <xdr:row>9</xdr:row>
      <xdr:rowOff>10795</xdr:rowOff>
    </xdr:to>
    <xdr:cxnSp>
      <xdr:nvCxnSpPr>
        <xdr:cNvPr id="5" name="直接连接符 4"/>
        <xdr:cNvCxnSpPr/>
      </xdr:nvCxnSpPr>
      <xdr:spPr>
        <a:xfrm>
          <a:off x="225425" y="4874895"/>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215265</xdr:colOff>
      <xdr:row>15</xdr:row>
      <xdr:rowOff>601980</xdr:rowOff>
    </xdr:from>
    <xdr:to>
      <xdr:col>4</xdr:col>
      <xdr:colOff>410845</xdr:colOff>
      <xdr:row>15</xdr:row>
      <xdr:rowOff>601980</xdr:rowOff>
    </xdr:to>
    <xdr:cxnSp>
      <xdr:nvCxnSpPr>
        <xdr:cNvPr id="6" name="直接连接符 5"/>
        <xdr:cNvCxnSpPr/>
      </xdr:nvCxnSpPr>
      <xdr:spPr>
        <a:xfrm>
          <a:off x="215265" y="8958580"/>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235585</xdr:colOff>
      <xdr:row>16</xdr:row>
      <xdr:rowOff>599440</xdr:rowOff>
    </xdr:from>
    <xdr:to>
      <xdr:col>4</xdr:col>
      <xdr:colOff>431165</xdr:colOff>
      <xdr:row>16</xdr:row>
      <xdr:rowOff>599440</xdr:rowOff>
    </xdr:to>
    <xdr:cxnSp>
      <xdr:nvCxnSpPr>
        <xdr:cNvPr id="7" name="直接连接符 6"/>
        <xdr:cNvCxnSpPr/>
      </xdr:nvCxnSpPr>
      <xdr:spPr>
        <a:xfrm>
          <a:off x="235585" y="9565640"/>
          <a:ext cx="26974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editAs="oneCell">
    <xdr:from>
      <xdr:col>0</xdr:col>
      <xdr:colOff>7620</xdr:colOff>
      <xdr:row>0</xdr:row>
      <xdr:rowOff>734060</xdr:rowOff>
    </xdr:from>
    <xdr:to>
      <xdr:col>33</xdr:col>
      <xdr:colOff>84455</xdr:colOff>
      <xdr:row>1</xdr:row>
      <xdr:rowOff>151765</xdr:rowOff>
    </xdr:to>
    <xdr:pic>
      <xdr:nvPicPr>
        <xdr:cNvPr id="9" name="E657119C-6982-421D-8BA7-E74DEB70A7DB-17"/>
        <xdr:cNvPicPr/>
      </xdr:nvPicPr>
      <xdr:blipFill>
        <a:stretch>
          <a:fillRect/>
        </a:stretch>
      </xdr:blipFill>
      <xdr:spPr>
        <a:xfrm>
          <a:off x="7620" y="734060"/>
          <a:ext cx="19804380" cy="192405"/>
        </a:xfrm>
        <a:prstGeom prst="rect">
          <a:avLst/>
        </a:prstGeom>
        <a:noFill/>
        <a:ln w="9525">
          <a:noFill/>
        </a:ln>
      </xdr:spPr>
    </xdr:pic>
    <xdr:clientData/>
  </xdr:twoCellAnchor>
  <xdr:twoCellAnchor editAs="oneCell">
    <xdr:from>
      <xdr:col>0</xdr:col>
      <xdr:colOff>225425</xdr:colOff>
      <xdr:row>5</xdr:row>
      <xdr:rowOff>6985</xdr:rowOff>
    </xdr:from>
    <xdr:to>
      <xdr:col>4</xdr:col>
      <xdr:colOff>193675</xdr:colOff>
      <xdr:row>5</xdr:row>
      <xdr:rowOff>6985</xdr:rowOff>
    </xdr:to>
    <xdr:pic>
      <xdr:nvPicPr>
        <xdr:cNvPr id="11" name="E657119C-6982-421D-8BA7-E74DEB70A7DB-18"/>
        <xdr:cNvPicPr/>
      </xdr:nvPicPr>
      <xdr:blipFill>
        <a:stretch>
          <a:fillRect/>
        </a:stretch>
      </xdr:blipFill>
      <xdr:spPr>
        <a:xfrm>
          <a:off x="225425" y="2505710"/>
          <a:ext cx="2470150" cy="0"/>
        </a:xfrm>
        <a:prstGeom prst="rect">
          <a:avLst/>
        </a:prstGeom>
        <a:noFill/>
        <a:ln w="9525">
          <a:noFill/>
        </a:ln>
      </xdr:spPr>
    </xdr:pic>
    <xdr:clientData/>
  </xdr:twoCellAnchor>
  <xdr:twoCellAnchor editAs="oneCell">
    <xdr:from>
      <xdr:col>0</xdr:col>
      <xdr:colOff>225425</xdr:colOff>
      <xdr:row>6</xdr:row>
      <xdr:rowOff>10160</xdr:rowOff>
    </xdr:from>
    <xdr:to>
      <xdr:col>4</xdr:col>
      <xdr:colOff>193675</xdr:colOff>
      <xdr:row>6</xdr:row>
      <xdr:rowOff>10160</xdr:rowOff>
    </xdr:to>
    <xdr:pic>
      <xdr:nvPicPr>
        <xdr:cNvPr id="13" name="E657119C-6982-421D-8BA7-E74DEB70A7DB-19"/>
        <xdr:cNvPicPr/>
      </xdr:nvPicPr>
      <xdr:blipFill>
        <a:stretch>
          <a:fillRect/>
        </a:stretch>
      </xdr:blipFill>
      <xdr:spPr>
        <a:xfrm>
          <a:off x="225425" y="3416935"/>
          <a:ext cx="2470150" cy="0"/>
        </a:xfrm>
        <a:prstGeom prst="rect">
          <a:avLst/>
        </a:prstGeom>
        <a:noFill/>
        <a:ln w="9525">
          <a:noFill/>
        </a:ln>
      </xdr:spPr>
    </xdr:pic>
    <xdr:clientData/>
  </xdr:twoCellAnchor>
  <xdr:twoCellAnchor editAs="oneCell">
    <xdr:from>
      <xdr:col>0</xdr:col>
      <xdr:colOff>225425</xdr:colOff>
      <xdr:row>9</xdr:row>
      <xdr:rowOff>10795</xdr:rowOff>
    </xdr:from>
    <xdr:to>
      <xdr:col>4</xdr:col>
      <xdr:colOff>193675</xdr:colOff>
      <xdr:row>9</xdr:row>
      <xdr:rowOff>10795</xdr:rowOff>
    </xdr:to>
    <xdr:pic>
      <xdr:nvPicPr>
        <xdr:cNvPr id="15" name="E657119C-6982-421D-8BA7-E74DEB70A7DB-20"/>
        <xdr:cNvPicPr/>
      </xdr:nvPicPr>
      <xdr:blipFill>
        <a:stretch>
          <a:fillRect/>
        </a:stretch>
      </xdr:blipFill>
      <xdr:spPr>
        <a:xfrm>
          <a:off x="225425" y="4874895"/>
          <a:ext cx="2470150" cy="0"/>
        </a:xfrm>
        <a:prstGeom prst="rect">
          <a:avLst/>
        </a:prstGeom>
        <a:noFill/>
        <a:ln w="9525">
          <a:noFill/>
        </a:ln>
      </xdr:spPr>
    </xdr:pic>
    <xdr:clientData/>
  </xdr:twoCellAnchor>
  <xdr:twoCellAnchor editAs="oneCell">
    <xdr:from>
      <xdr:col>0</xdr:col>
      <xdr:colOff>215265</xdr:colOff>
      <xdr:row>15</xdr:row>
      <xdr:rowOff>601980</xdr:rowOff>
    </xdr:from>
    <xdr:to>
      <xdr:col>4</xdr:col>
      <xdr:colOff>183515</xdr:colOff>
      <xdr:row>15</xdr:row>
      <xdr:rowOff>601980</xdr:rowOff>
    </xdr:to>
    <xdr:pic>
      <xdr:nvPicPr>
        <xdr:cNvPr id="17" name="E657119C-6982-421D-8BA7-E74DEB70A7DB-21"/>
        <xdr:cNvPicPr/>
      </xdr:nvPicPr>
      <xdr:blipFill>
        <a:stretch>
          <a:fillRect/>
        </a:stretch>
      </xdr:blipFill>
      <xdr:spPr>
        <a:xfrm>
          <a:off x="215265" y="8958580"/>
          <a:ext cx="2470150" cy="0"/>
        </a:xfrm>
        <a:prstGeom prst="rect">
          <a:avLst/>
        </a:prstGeom>
        <a:noFill/>
        <a:ln w="9525">
          <a:noFill/>
        </a:ln>
      </xdr:spPr>
    </xdr:pic>
    <xdr:clientData/>
  </xdr:twoCellAnchor>
  <xdr:twoCellAnchor editAs="oneCell">
    <xdr:from>
      <xdr:col>0</xdr:col>
      <xdr:colOff>235585</xdr:colOff>
      <xdr:row>16</xdr:row>
      <xdr:rowOff>599440</xdr:rowOff>
    </xdr:from>
    <xdr:to>
      <xdr:col>4</xdr:col>
      <xdr:colOff>203835</xdr:colOff>
      <xdr:row>16</xdr:row>
      <xdr:rowOff>599440</xdr:rowOff>
    </xdr:to>
    <xdr:pic>
      <xdr:nvPicPr>
        <xdr:cNvPr id="19" name="E657119C-6982-421D-8BA7-E74DEB70A7DB-22"/>
        <xdr:cNvPicPr/>
      </xdr:nvPicPr>
      <xdr:blipFill>
        <a:stretch>
          <a:fillRect/>
        </a:stretch>
      </xdr:blipFill>
      <xdr:spPr>
        <a:xfrm>
          <a:off x="235585" y="9565640"/>
          <a:ext cx="2470150" cy="0"/>
        </a:xfrm>
        <a:prstGeom prst="rect">
          <a:avLst/>
        </a:prstGeom>
        <a:noFill/>
        <a:ln w="9525">
          <a:noFill/>
        </a:ln>
      </xdr:spPr>
    </xdr:pic>
    <xdr:clientData/>
  </xdr:twoCellAnchor>
  <xdr:twoCellAnchor editAs="oneCell">
    <xdr:from>
      <xdr:col>0</xdr:col>
      <xdr:colOff>215265</xdr:colOff>
      <xdr:row>15</xdr:row>
      <xdr:rowOff>601980</xdr:rowOff>
    </xdr:from>
    <xdr:to>
      <xdr:col>4</xdr:col>
      <xdr:colOff>475615</xdr:colOff>
      <xdr:row>15</xdr:row>
      <xdr:rowOff>601980</xdr:rowOff>
    </xdr:to>
    <xdr:pic>
      <xdr:nvPicPr>
        <xdr:cNvPr id="24" name="E657119C-6982-421D-8BA7-E74DEB70A7DB-26"/>
        <xdr:cNvPicPr/>
      </xdr:nvPicPr>
      <xdr:blipFill>
        <a:stretch>
          <a:fillRect/>
        </a:stretch>
      </xdr:blipFill>
      <xdr:spPr>
        <a:xfrm>
          <a:off x="215265" y="8958580"/>
          <a:ext cx="2762250" cy="0"/>
        </a:xfrm>
        <a:prstGeom prst="rect">
          <a:avLst/>
        </a:prstGeom>
        <a:noFill/>
        <a:ln w="9525">
          <a:noFill/>
        </a:ln>
      </xdr:spPr>
    </xdr:pic>
    <xdr:clientData/>
  </xdr:twoCellAnchor>
  <xdr:twoCellAnchor editAs="oneCell">
    <xdr:from>
      <xdr:col>0</xdr:col>
      <xdr:colOff>235585</xdr:colOff>
      <xdr:row>16</xdr:row>
      <xdr:rowOff>599440</xdr:rowOff>
    </xdr:from>
    <xdr:to>
      <xdr:col>4</xdr:col>
      <xdr:colOff>495935</xdr:colOff>
      <xdr:row>16</xdr:row>
      <xdr:rowOff>599440</xdr:rowOff>
    </xdr:to>
    <xdr:pic>
      <xdr:nvPicPr>
        <xdr:cNvPr id="26" name="E657119C-6982-421D-8BA7-E74DEB70A7DB-27"/>
        <xdr:cNvPicPr/>
      </xdr:nvPicPr>
      <xdr:blipFill>
        <a:stretch>
          <a:fillRect/>
        </a:stretch>
      </xdr:blipFill>
      <xdr:spPr>
        <a:xfrm>
          <a:off x="235585" y="9565640"/>
          <a:ext cx="2762250" cy="0"/>
        </a:xfrm>
        <a:prstGeom prst="rect">
          <a:avLst/>
        </a:prstGeom>
        <a:noFill/>
        <a:ln w="9525">
          <a:noFill/>
        </a:ln>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541020</xdr:colOff>
      <xdr:row>2</xdr:row>
      <xdr:rowOff>170180</xdr:rowOff>
    </xdr:to>
    <xdr:pic>
      <xdr:nvPicPr>
        <xdr:cNvPr id="16" name="ID_B8866FF8443B4D5096579B7AE4F8D3EB" descr="图标_职业_近卫_大图"/>
        <xdr:cNvPicPr>
          <a:picLocks noChangeAspect="1"/>
        </xdr:cNvPicPr>
      </xdr:nvPicPr>
      <xdr:blipFill>
        <a:blip r:embed="rId1"/>
        <a:stretch>
          <a:fillRect/>
        </a:stretch>
      </xdr:blipFill>
      <xdr:spPr>
        <a:xfrm>
          <a:off x="617220" y="5101590"/>
          <a:ext cx="541020" cy="525780"/>
        </a:xfrm>
        <a:prstGeom prst="rect">
          <a:avLst/>
        </a:prstGeom>
      </xdr:spPr>
    </xdr:pic>
    <xdr:clientData/>
  </xdr:twoCellAnchor>
  <xdr:twoCellAnchor editAs="oneCell">
    <xdr:from>
      <xdr:col>0</xdr:col>
      <xdr:colOff>0</xdr:colOff>
      <xdr:row>0</xdr:row>
      <xdr:rowOff>0</xdr:rowOff>
    </xdr:from>
    <xdr:to>
      <xdr:col>2</xdr:col>
      <xdr:colOff>66040</xdr:colOff>
      <xdr:row>7</xdr:row>
      <xdr:rowOff>53975</xdr:rowOff>
    </xdr:to>
    <xdr:pic>
      <xdr:nvPicPr>
        <xdr:cNvPr id="3" name="ID_29B33786BB7E433C91D14FE25C8230AE"/>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99085" y="1405255"/>
          <a:ext cx="1323340" cy="1298575"/>
        </a:xfrm>
        <a:prstGeom prst="rect">
          <a:avLst/>
        </a:prstGeom>
      </xdr:spPr>
    </xdr:pic>
    <xdr:clientData/>
  </xdr:twoCellAnchor>
  <xdr:twoCellAnchor editAs="oneCell">
    <xdr:from>
      <xdr:col>0</xdr:col>
      <xdr:colOff>0</xdr:colOff>
      <xdr:row>0</xdr:row>
      <xdr:rowOff>0</xdr:rowOff>
    </xdr:from>
    <xdr:to>
      <xdr:col>1</xdr:col>
      <xdr:colOff>609600</xdr:colOff>
      <xdr:row>6</xdr:row>
      <xdr:rowOff>171450</xdr:rowOff>
    </xdr:to>
    <xdr:pic>
      <xdr:nvPicPr>
        <xdr:cNvPr id="26" name="ID_0752C98FF66649929CDC383BB4C9FA1D" descr="7"/>
        <xdr:cNvPicPr/>
      </xdr:nvPicPr>
      <xdr:blipFill>
        <a:blip r:embed="rId3"/>
        <a:stretch>
          <a:fillRect/>
        </a:stretch>
      </xdr:blipFill>
      <xdr:spPr>
        <a:xfrm>
          <a:off x="0" y="0"/>
          <a:ext cx="1238250" cy="1238250"/>
        </a:xfrm>
        <a:prstGeom prst="rect">
          <a:avLst/>
        </a:prstGeom>
      </xdr:spPr>
    </xdr:pic>
    <xdr:clientData/>
  </xdr:twoCellAnchor>
  <xdr:twoCellAnchor editAs="oneCell">
    <xdr:from>
      <xdr:col>0</xdr:col>
      <xdr:colOff>0</xdr:colOff>
      <xdr:row>0</xdr:row>
      <xdr:rowOff>0</xdr:rowOff>
    </xdr:from>
    <xdr:to>
      <xdr:col>1</xdr:col>
      <xdr:colOff>114300</xdr:colOff>
      <xdr:row>4</xdr:row>
      <xdr:rowOff>31750</xdr:rowOff>
    </xdr:to>
    <xdr:pic>
      <xdr:nvPicPr>
        <xdr:cNvPr id="28" name="ID_8D1D66EF3C8E4C4DA2C499BD98760604" descr="5"/>
        <xdr:cNvPicPr/>
      </xdr:nvPicPr>
      <xdr:blipFill>
        <a:blip r:embed="rId4"/>
        <a:stretch>
          <a:fillRect/>
        </a:stretch>
      </xdr:blipFill>
      <xdr:spPr>
        <a:xfrm>
          <a:off x="0" y="0"/>
          <a:ext cx="742950" cy="742950"/>
        </a:xfrm>
        <a:prstGeom prst="rect">
          <a:avLst/>
        </a:prstGeom>
      </xdr:spPr>
    </xdr:pic>
    <xdr:clientData/>
  </xdr:twoCellAnchor>
  <xdr:twoCellAnchor editAs="oneCell">
    <xdr:from>
      <xdr:col>0</xdr:col>
      <xdr:colOff>0</xdr:colOff>
      <xdr:row>0</xdr:row>
      <xdr:rowOff>0</xdr:rowOff>
    </xdr:from>
    <xdr:to>
      <xdr:col>0</xdr:col>
      <xdr:colOff>541020</xdr:colOff>
      <xdr:row>2</xdr:row>
      <xdr:rowOff>168275</xdr:rowOff>
    </xdr:to>
    <xdr:pic>
      <xdr:nvPicPr>
        <xdr:cNvPr id="31" name="ID_52415B6A2B1D4D28A07C36CA61249B08" descr="图标_职业_狙击_大图"/>
        <xdr:cNvPicPr>
          <a:picLocks noChangeAspect="1"/>
        </xdr:cNvPicPr>
      </xdr:nvPicPr>
      <xdr:blipFill>
        <a:blip r:embed="rId5"/>
        <a:stretch>
          <a:fillRect/>
        </a:stretch>
      </xdr:blipFill>
      <xdr:spPr>
        <a:xfrm>
          <a:off x="617220" y="5648325"/>
          <a:ext cx="541020" cy="523875"/>
        </a:xfrm>
        <a:prstGeom prst="rect">
          <a:avLst/>
        </a:prstGeom>
      </xdr:spPr>
    </xdr:pic>
    <xdr:clientData/>
  </xdr:twoCellAnchor>
  <xdr:twoCellAnchor editAs="oneCell">
    <xdr:from>
      <xdr:col>0</xdr:col>
      <xdr:colOff>0</xdr:colOff>
      <xdr:row>0</xdr:row>
      <xdr:rowOff>0</xdr:rowOff>
    </xdr:from>
    <xdr:to>
      <xdr:col>2</xdr:col>
      <xdr:colOff>246380</xdr:colOff>
      <xdr:row>8</xdr:row>
      <xdr:rowOff>83185</xdr:rowOff>
    </xdr:to>
    <xdr:pic>
      <xdr:nvPicPr>
        <xdr:cNvPr id="32" name="ID_20CC98ADBEC044A7B2FF7D1435B755A0"/>
        <xdr:cNvPicPr>
          <a:picLocks noChangeAspect="1"/>
        </xdr:cNvPicPr>
      </xdr:nvPicPr>
      <xdr:blipFill>
        <a:blip r:embed="rId6" r:link="rId7"/>
        <a:stretch>
          <a:fillRect/>
        </a:stretch>
      </xdr:blipFill>
      <xdr:spPr>
        <a:xfrm>
          <a:off x="1034415" y="5967095"/>
          <a:ext cx="1503680" cy="1505585"/>
        </a:xfrm>
        <a:prstGeom prst="rect">
          <a:avLst/>
        </a:prstGeom>
        <a:noFill/>
        <a:ln w="9525">
          <a:noFill/>
        </a:ln>
      </xdr:spPr>
    </xdr:pic>
    <xdr:clientData/>
  </xdr:twoCellAnchor>
  <xdr:twoCellAnchor editAs="oneCell">
    <xdr:from>
      <xdr:col>0</xdr:col>
      <xdr:colOff>0</xdr:colOff>
      <xdr:row>0</xdr:row>
      <xdr:rowOff>0</xdr:rowOff>
    </xdr:from>
    <xdr:to>
      <xdr:col>0</xdr:col>
      <xdr:colOff>541020</xdr:colOff>
      <xdr:row>3</xdr:row>
      <xdr:rowOff>5715</xdr:rowOff>
    </xdr:to>
    <xdr:pic>
      <xdr:nvPicPr>
        <xdr:cNvPr id="33" name="ID_3CC9339639E34C35B185CE317598FFE5" descr="图标_职业_重装_大图"/>
        <xdr:cNvPicPr>
          <a:picLocks noChangeAspect="1"/>
        </xdr:cNvPicPr>
      </xdr:nvPicPr>
      <xdr:blipFill>
        <a:blip r:embed="rId8"/>
        <a:stretch>
          <a:fillRect/>
        </a:stretch>
      </xdr:blipFill>
      <xdr:spPr>
        <a:xfrm>
          <a:off x="617220" y="8383905"/>
          <a:ext cx="541020" cy="539115"/>
        </a:xfrm>
        <a:prstGeom prst="rect">
          <a:avLst/>
        </a:prstGeom>
      </xdr:spPr>
    </xdr:pic>
    <xdr:clientData/>
  </xdr:twoCellAnchor>
  <xdr:twoCellAnchor editAs="oneCell">
    <xdr:from>
      <xdr:col>0</xdr:col>
      <xdr:colOff>0</xdr:colOff>
      <xdr:row>0</xdr:row>
      <xdr:rowOff>0</xdr:rowOff>
    </xdr:from>
    <xdr:to>
      <xdr:col>1</xdr:col>
      <xdr:colOff>82550</xdr:colOff>
      <xdr:row>2</xdr:row>
      <xdr:rowOff>177165</xdr:rowOff>
    </xdr:to>
    <xdr:pic>
      <xdr:nvPicPr>
        <xdr:cNvPr id="34" name="ID_2792D848DF4345389745B1B20C4C0918"/>
        <xdr:cNvPicPr>
          <a:picLocks noChangeAspect="1"/>
        </xdr:cNvPicPr>
      </xdr:nvPicPr>
      <xdr:blipFill>
        <a:blip r:embed="rId9" r:link="rId7"/>
        <a:stretch>
          <a:fillRect/>
        </a:stretch>
      </xdr:blipFill>
      <xdr:spPr>
        <a:xfrm>
          <a:off x="14460855" y="5796915"/>
          <a:ext cx="711200" cy="532765"/>
        </a:xfrm>
        <a:prstGeom prst="rect">
          <a:avLst/>
        </a:prstGeom>
      </xdr:spPr>
    </xdr:pic>
    <xdr:clientData/>
  </xdr:twoCellAnchor>
  <xdr:twoCellAnchor editAs="oneCell">
    <xdr:from>
      <xdr:col>0</xdr:col>
      <xdr:colOff>0</xdr:colOff>
      <xdr:row>0</xdr:row>
      <xdr:rowOff>0</xdr:rowOff>
    </xdr:from>
    <xdr:to>
      <xdr:col>1</xdr:col>
      <xdr:colOff>163830</xdr:colOff>
      <xdr:row>1</xdr:row>
      <xdr:rowOff>20320</xdr:rowOff>
    </xdr:to>
    <xdr:pic>
      <xdr:nvPicPr>
        <xdr:cNvPr id="37" name="ID_248C55FF982E44BD9500F8B29AA9F2FE"/>
        <xdr:cNvPicPr>
          <a:picLocks noChangeAspect="1"/>
        </xdr:cNvPicPr>
      </xdr:nvPicPr>
      <xdr:blipFill>
        <a:blip r:embed="rId10" r:link="rId7"/>
        <a:stretch>
          <a:fillRect/>
        </a:stretch>
      </xdr:blipFill>
      <xdr:spPr>
        <a:xfrm>
          <a:off x="17449165" y="1264285"/>
          <a:ext cx="792480" cy="198120"/>
        </a:xfrm>
        <a:prstGeom prst="rect">
          <a:avLst/>
        </a:prstGeom>
        <a:noFill/>
        <a:ln>
          <a:noFill/>
        </a:ln>
      </xdr:spPr>
    </xdr:pic>
    <xdr:clientData/>
  </xdr:twoCellAnchor>
  <xdr:twoCellAnchor editAs="oneCell">
    <xdr:from>
      <xdr:col>0</xdr:col>
      <xdr:colOff>0</xdr:colOff>
      <xdr:row>0</xdr:row>
      <xdr:rowOff>0</xdr:rowOff>
    </xdr:from>
    <xdr:to>
      <xdr:col>0</xdr:col>
      <xdr:colOff>499745</xdr:colOff>
      <xdr:row>1</xdr:row>
      <xdr:rowOff>64770</xdr:rowOff>
    </xdr:to>
    <xdr:pic>
      <xdr:nvPicPr>
        <xdr:cNvPr id="36" name="ID_D5AC2F74C7FF420590D83D4FBDDB3AA6" descr="正前方一格"/>
        <xdr:cNvPicPr>
          <a:picLocks noChangeAspect="1"/>
        </xdr:cNvPicPr>
      </xdr:nvPicPr>
      <xdr:blipFill>
        <a:blip r:embed="rId11"/>
        <a:stretch>
          <a:fillRect/>
        </a:stretch>
      </xdr:blipFill>
      <xdr:spPr>
        <a:xfrm>
          <a:off x="14453235" y="3548380"/>
          <a:ext cx="499745" cy="242570"/>
        </a:xfrm>
        <a:prstGeom prst="rect">
          <a:avLst/>
        </a:prstGeom>
      </xdr:spPr>
    </xdr:pic>
    <xdr:clientData/>
  </xdr:twoCellAnchor>
  <xdr:twoCellAnchor editAs="oneCell">
    <xdr:from>
      <xdr:col>0</xdr:col>
      <xdr:colOff>0</xdr:colOff>
      <xdr:row>0</xdr:row>
      <xdr:rowOff>0</xdr:rowOff>
    </xdr:from>
    <xdr:to>
      <xdr:col>1</xdr:col>
      <xdr:colOff>30480</xdr:colOff>
      <xdr:row>2</xdr:row>
      <xdr:rowOff>33655</xdr:rowOff>
    </xdr:to>
    <xdr:pic>
      <xdr:nvPicPr>
        <xdr:cNvPr id="39" name="ID_AD760882527B4A8DB6A83F4BB3BC4450" descr="天马视域"/>
        <xdr:cNvPicPr>
          <a:picLocks noChangeAspect="1"/>
        </xdr:cNvPicPr>
      </xdr:nvPicPr>
      <xdr:blipFill>
        <a:blip r:embed="rId12"/>
        <a:stretch>
          <a:fillRect/>
        </a:stretch>
      </xdr:blipFill>
      <xdr:spPr>
        <a:xfrm>
          <a:off x="11374755" y="5858510"/>
          <a:ext cx="659130" cy="389255"/>
        </a:xfrm>
        <a:prstGeom prst="rect">
          <a:avLst/>
        </a:prstGeom>
      </xdr:spPr>
    </xdr:pic>
    <xdr:clientData/>
  </xdr:twoCellAnchor>
  <xdr:twoCellAnchor editAs="oneCell">
    <xdr:from>
      <xdr:col>0</xdr:col>
      <xdr:colOff>0</xdr:colOff>
      <xdr:row>0</xdr:row>
      <xdr:rowOff>0</xdr:rowOff>
    </xdr:from>
    <xdr:to>
      <xdr:col>1</xdr:col>
      <xdr:colOff>549910</xdr:colOff>
      <xdr:row>6</xdr:row>
      <xdr:rowOff>102235</xdr:rowOff>
    </xdr:to>
    <xdr:pic>
      <xdr:nvPicPr>
        <xdr:cNvPr id="2" name="ID_08D41D522AE04E359069F4FC2ACE8371"/>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416560" y="1459865"/>
          <a:ext cx="1178560" cy="1169035"/>
        </a:xfrm>
        <a:prstGeom prst="rect">
          <a:avLst/>
        </a:prstGeom>
      </xdr:spPr>
    </xdr:pic>
    <xdr:clientData/>
  </xdr:twoCellAnchor>
  <xdr:twoCellAnchor editAs="oneCell">
    <xdr:from>
      <xdr:col>0</xdr:col>
      <xdr:colOff>0</xdr:colOff>
      <xdr:row>0</xdr:row>
      <xdr:rowOff>0</xdr:rowOff>
    </xdr:from>
    <xdr:to>
      <xdr:col>2</xdr:col>
      <xdr:colOff>38100</xdr:colOff>
      <xdr:row>7</xdr:row>
      <xdr:rowOff>50800</xdr:rowOff>
    </xdr:to>
    <xdr:pic>
      <xdr:nvPicPr>
        <xdr:cNvPr id="5" name="ID_04704C78AFD14ED2A754EE9B2881E121" descr="职业分支图标_冲锋手"/>
        <xdr:cNvPicPr>
          <a:picLocks noChangeAspect="1"/>
        </xdr:cNvPicPr>
      </xdr:nvPicPr>
      <xdr:blipFill>
        <a:blip r:embed="rId14"/>
        <a:stretch>
          <a:fillRect/>
        </a:stretch>
      </xdr:blipFill>
      <xdr:spPr>
        <a:xfrm>
          <a:off x="441960" y="1646555"/>
          <a:ext cx="1295400" cy="1295400"/>
        </a:xfrm>
        <a:prstGeom prst="rect">
          <a:avLst/>
        </a:prstGeom>
      </xdr:spPr>
    </xdr:pic>
    <xdr:clientData/>
  </xdr:twoCellAnchor>
  <xdr:twoCellAnchor editAs="oneCell">
    <xdr:from>
      <xdr:col>0</xdr:col>
      <xdr:colOff>0</xdr:colOff>
      <xdr:row>0</xdr:row>
      <xdr:rowOff>0</xdr:rowOff>
    </xdr:from>
    <xdr:to>
      <xdr:col>1</xdr:col>
      <xdr:colOff>547370</xdr:colOff>
      <xdr:row>6</xdr:row>
      <xdr:rowOff>152400</xdr:rowOff>
    </xdr:to>
    <xdr:pic>
      <xdr:nvPicPr>
        <xdr:cNvPr id="7" name="ID_E589E60172CD444DA37C4947670D4A1E"/>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488950" y="1683385"/>
          <a:ext cx="1176020" cy="1219200"/>
        </a:xfrm>
        <a:prstGeom prst="rect">
          <a:avLst/>
        </a:prstGeom>
      </xdr:spPr>
    </xdr:pic>
    <xdr:clientData/>
  </xdr:twoCellAnchor>
  <xdr:twoCellAnchor editAs="oneCell">
    <xdr:from>
      <xdr:col>0</xdr:col>
      <xdr:colOff>0</xdr:colOff>
      <xdr:row>0</xdr:row>
      <xdr:rowOff>0</xdr:rowOff>
    </xdr:from>
    <xdr:to>
      <xdr:col>1</xdr:col>
      <xdr:colOff>517525</xdr:colOff>
      <xdr:row>6</xdr:row>
      <xdr:rowOff>114300</xdr:rowOff>
    </xdr:to>
    <xdr:pic>
      <xdr:nvPicPr>
        <xdr:cNvPr id="8" name="ID_EF8622D837DE486BADE9CB4E96872CFE"/>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583565" y="1690370"/>
          <a:ext cx="1146175" cy="1181100"/>
        </a:xfrm>
        <a:prstGeom prst="rect">
          <a:avLst/>
        </a:prstGeom>
      </xdr:spPr>
    </xdr:pic>
    <xdr:clientData/>
  </xdr:twoCellAnchor>
  <xdr:twoCellAnchor editAs="oneCell">
    <xdr:from>
      <xdr:col>0</xdr:col>
      <xdr:colOff>0</xdr:colOff>
      <xdr:row>0</xdr:row>
      <xdr:rowOff>0</xdr:rowOff>
    </xdr:from>
    <xdr:to>
      <xdr:col>1</xdr:col>
      <xdr:colOff>277495</xdr:colOff>
      <xdr:row>6</xdr:row>
      <xdr:rowOff>95250</xdr:rowOff>
    </xdr:to>
    <xdr:pic>
      <xdr:nvPicPr>
        <xdr:cNvPr id="10" name="ID_D0F335BECB3444AC957DDA6AEF52A8C0"/>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546735" y="1689735"/>
          <a:ext cx="906145" cy="1162050"/>
        </a:xfrm>
        <a:prstGeom prst="rect">
          <a:avLst/>
        </a:prstGeom>
      </xdr:spPr>
    </xdr:pic>
    <xdr:clientData/>
  </xdr:twoCellAnchor>
  <xdr:twoCellAnchor editAs="oneCell">
    <xdr:from>
      <xdr:col>0</xdr:col>
      <xdr:colOff>0</xdr:colOff>
      <xdr:row>0</xdr:row>
      <xdr:rowOff>0</xdr:rowOff>
    </xdr:from>
    <xdr:to>
      <xdr:col>1</xdr:col>
      <xdr:colOff>551180</xdr:colOff>
      <xdr:row>5</xdr:row>
      <xdr:rowOff>120650</xdr:rowOff>
    </xdr:to>
    <xdr:pic>
      <xdr:nvPicPr>
        <xdr:cNvPr id="11" name="ID_EB6D268D336E4363856A5186ED0E6D6D"/>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492760" y="1736725"/>
          <a:ext cx="1179830" cy="1009650"/>
        </a:xfrm>
        <a:prstGeom prst="rect">
          <a:avLst/>
        </a:prstGeom>
      </xdr:spPr>
    </xdr:pic>
    <xdr:clientData/>
  </xdr:twoCellAnchor>
  <xdr:twoCellAnchor editAs="oneCell">
    <xdr:from>
      <xdr:col>0</xdr:col>
      <xdr:colOff>0</xdr:colOff>
      <xdr:row>0</xdr:row>
      <xdr:rowOff>0</xdr:rowOff>
    </xdr:from>
    <xdr:to>
      <xdr:col>2</xdr:col>
      <xdr:colOff>227965</xdr:colOff>
      <xdr:row>4</xdr:row>
      <xdr:rowOff>31750</xdr:rowOff>
    </xdr:to>
    <xdr:pic>
      <xdr:nvPicPr>
        <xdr:cNvPr id="12" name="ID_309279356856475B8C5FCA829701C705" descr="无畏者"/>
        <xdr:cNvPicPr>
          <a:picLocks noChangeAspect="1"/>
        </xdr:cNvPicPr>
      </xdr:nvPicPr>
      <xdr:blipFill>
        <a:blip r:embed="rId11"/>
        <a:stretch>
          <a:fillRect/>
        </a:stretch>
      </xdr:blipFill>
      <xdr:spPr>
        <a:xfrm>
          <a:off x="1547495" y="7061200"/>
          <a:ext cx="1485265" cy="742950"/>
        </a:xfrm>
        <a:prstGeom prst="rect">
          <a:avLst/>
        </a:prstGeom>
      </xdr:spPr>
    </xdr:pic>
    <xdr:clientData/>
  </xdr:twoCellAnchor>
  <xdr:twoCellAnchor editAs="oneCell">
    <xdr:from>
      <xdr:col>0</xdr:col>
      <xdr:colOff>0</xdr:colOff>
      <xdr:row>0</xdr:row>
      <xdr:rowOff>0</xdr:rowOff>
    </xdr:from>
    <xdr:to>
      <xdr:col>2</xdr:col>
      <xdr:colOff>231775</xdr:colOff>
      <xdr:row>12</xdr:row>
      <xdr:rowOff>95250</xdr:rowOff>
    </xdr:to>
    <xdr:pic>
      <xdr:nvPicPr>
        <xdr:cNvPr id="15" name="ID_FCBD9BED3D2C48F6BF6C0079E2C7E7BF"/>
        <xdr:cNvPicPr>
          <a:picLocks noChangeAspect="1"/>
        </xdr:cNvPicPr>
      </xdr:nvPicPr>
      <xdr:blipFill>
        <a:blip r:embed="rId19"/>
        <a:stretch>
          <a:fillRect/>
        </a:stretch>
      </xdr:blipFill>
      <xdr:spPr>
        <a:xfrm>
          <a:off x="1255395" y="6303645"/>
          <a:ext cx="1489075" cy="2228850"/>
        </a:xfrm>
        <a:prstGeom prst="rect">
          <a:avLst/>
        </a:prstGeom>
      </xdr:spPr>
    </xdr:pic>
    <xdr:clientData/>
  </xdr:twoCellAnchor>
  <xdr:twoCellAnchor editAs="oneCell">
    <xdr:from>
      <xdr:col>0</xdr:col>
      <xdr:colOff>0</xdr:colOff>
      <xdr:row>0</xdr:row>
      <xdr:rowOff>0</xdr:rowOff>
    </xdr:from>
    <xdr:to>
      <xdr:col>3</xdr:col>
      <xdr:colOff>91440</xdr:colOff>
      <xdr:row>8</xdr:row>
      <xdr:rowOff>63500</xdr:rowOff>
    </xdr:to>
    <xdr:pic>
      <xdr:nvPicPr>
        <xdr:cNvPr id="20" name="ID_4CD972BBDD074BA3AE258CCA39F72B43" descr="速射手"/>
        <xdr:cNvPicPr>
          <a:picLocks noChangeAspect="1"/>
        </xdr:cNvPicPr>
      </xdr:nvPicPr>
      <xdr:blipFill>
        <a:blip r:embed="rId9" r:link="rId7"/>
        <a:stretch>
          <a:fillRect/>
        </a:stretch>
      </xdr:blipFill>
      <xdr:spPr>
        <a:xfrm>
          <a:off x="1485265" y="6841490"/>
          <a:ext cx="1977390" cy="1485900"/>
        </a:xfrm>
        <a:prstGeom prst="rect">
          <a:avLst/>
        </a:prstGeom>
      </xdr:spPr>
    </xdr:pic>
    <xdr:clientData/>
  </xdr:twoCellAnchor>
  <xdr:twoCellAnchor editAs="oneCell">
    <xdr:from>
      <xdr:col>0</xdr:col>
      <xdr:colOff>0</xdr:colOff>
      <xdr:row>0</xdr:row>
      <xdr:rowOff>0</xdr:rowOff>
    </xdr:from>
    <xdr:to>
      <xdr:col>2</xdr:col>
      <xdr:colOff>251460</xdr:colOff>
      <xdr:row>4</xdr:row>
      <xdr:rowOff>39370</xdr:rowOff>
    </xdr:to>
    <xdr:pic>
      <xdr:nvPicPr>
        <xdr:cNvPr id="22" name="ID_7588C7A3A9CA4753A0743D9829A54C97"/>
        <xdr:cNvPicPr>
          <a:picLocks noChangeAspect="1"/>
        </xdr:cNvPicPr>
      </xdr:nvPicPr>
      <xdr:blipFill>
        <a:blip r:embed="rId11"/>
        <a:stretch>
          <a:fillRect/>
        </a:stretch>
      </xdr:blipFill>
      <xdr:spPr>
        <a:xfrm>
          <a:off x="1535430" y="7057390"/>
          <a:ext cx="1508760" cy="750570"/>
        </a:xfrm>
        <a:prstGeom prst="rect">
          <a:avLst/>
        </a:prstGeom>
      </xdr:spPr>
    </xdr:pic>
    <xdr:clientData/>
  </xdr:twoCellAnchor>
  <xdr:twoCellAnchor editAs="oneCell">
    <xdr:from>
      <xdr:col>0</xdr:col>
      <xdr:colOff>0</xdr:colOff>
      <xdr:row>0</xdr:row>
      <xdr:rowOff>0</xdr:rowOff>
    </xdr:from>
    <xdr:to>
      <xdr:col>2</xdr:col>
      <xdr:colOff>251460</xdr:colOff>
      <xdr:row>4</xdr:row>
      <xdr:rowOff>39370</xdr:rowOff>
    </xdr:to>
    <xdr:pic>
      <xdr:nvPicPr>
        <xdr:cNvPr id="23" name="ID_316A60CA24274AFB94C6E5C6072F0571"/>
        <xdr:cNvPicPr>
          <a:picLocks noChangeAspect="1"/>
        </xdr:cNvPicPr>
      </xdr:nvPicPr>
      <xdr:blipFill>
        <a:blip r:embed="rId11"/>
        <a:stretch>
          <a:fillRect/>
        </a:stretch>
      </xdr:blipFill>
      <xdr:spPr>
        <a:xfrm>
          <a:off x="762000" y="6286500"/>
          <a:ext cx="1508760" cy="750570"/>
        </a:xfrm>
        <a:prstGeom prst="rect">
          <a:avLst/>
        </a:prstGeom>
      </xdr:spPr>
    </xdr:pic>
    <xdr:clientData/>
  </xdr:twoCellAnchor>
  <xdr:twoCellAnchor editAs="oneCell">
    <xdr:from>
      <xdr:col>0</xdr:col>
      <xdr:colOff>0</xdr:colOff>
      <xdr:row>0</xdr:row>
      <xdr:rowOff>0</xdr:rowOff>
    </xdr:from>
    <xdr:to>
      <xdr:col>1</xdr:col>
      <xdr:colOff>620395</xdr:colOff>
      <xdr:row>6</xdr:row>
      <xdr:rowOff>57150</xdr:rowOff>
    </xdr:to>
    <xdr:pic>
      <xdr:nvPicPr>
        <xdr:cNvPr id="24" name="ID_ED13969E3317402EB68C63AA85FB9EA6"/>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829945" y="1660525"/>
          <a:ext cx="1249045" cy="1123950"/>
        </a:xfrm>
        <a:prstGeom prst="rect">
          <a:avLst/>
        </a:prstGeom>
      </xdr:spPr>
    </xdr:pic>
    <xdr:clientData/>
  </xdr:twoCellAnchor>
  <xdr:twoCellAnchor editAs="oneCell">
    <xdr:from>
      <xdr:col>0</xdr:col>
      <xdr:colOff>0</xdr:colOff>
      <xdr:row>0</xdr:row>
      <xdr:rowOff>0</xdr:rowOff>
    </xdr:from>
    <xdr:to>
      <xdr:col>1</xdr:col>
      <xdr:colOff>279400</xdr:colOff>
      <xdr:row>6</xdr:row>
      <xdr:rowOff>102235</xdr:rowOff>
    </xdr:to>
    <xdr:pic>
      <xdr:nvPicPr>
        <xdr:cNvPr id="42" name="ID_341218F06C624D8F83ED6F6C962EE287"/>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1270" y="1206500"/>
          <a:ext cx="908050" cy="1169035"/>
        </a:xfrm>
        <a:prstGeom prst="rect">
          <a:avLst/>
        </a:prstGeom>
      </xdr:spPr>
    </xdr:pic>
    <xdr:clientData/>
  </xdr:twoCellAnchor>
  <xdr:twoCellAnchor editAs="oneCell">
    <xdr:from>
      <xdr:col>0</xdr:col>
      <xdr:colOff>0</xdr:colOff>
      <xdr:row>0</xdr:row>
      <xdr:rowOff>0</xdr:rowOff>
    </xdr:from>
    <xdr:to>
      <xdr:col>0</xdr:col>
      <xdr:colOff>516255</xdr:colOff>
      <xdr:row>2</xdr:row>
      <xdr:rowOff>164465</xdr:rowOff>
    </xdr:to>
    <xdr:pic>
      <xdr:nvPicPr>
        <xdr:cNvPr id="54" name="ID_A157D79EE7224A18B6A03F6C67C70505" descr="图标_职业_先锋_大图"/>
        <xdr:cNvPicPr>
          <a:picLocks noChangeAspect="1"/>
        </xdr:cNvPicPr>
      </xdr:nvPicPr>
      <xdr:blipFill>
        <a:blip r:embed="rId22"/>
        <a:stretch>
          <a:fillRect/>
        </a:stretch>
      </xdr:blipFill>
      <xdr:spPr>
        <a:xfrm>
          <a:off x="134620" y="134620"/>
          <a:ext cx="516255" cy="520065"/>
        </a:xfrm>
        <a:prstGeom prst="rect">
          <a:avLst/>
        </a:prstGeom>
      </xdr:spPr>
    </xdr:pic>
    <xdr:clientData/>
  </xdr:twoCellAnchor>
  <xdr:twoCellAnchor editAs="oneCell">
    <xdr:from>
      <xdr:col>0</xdr:col>
      <xdr:colOff>0</xdr:colOff>
      <xdr:row>0</xdr:row>
      <xdr:rowOff>0</xdr:rowOff>
    </xdr:from>
    <xdr:to>
      <xdr:col>3</xdr:col>
      <xdr:colOff>625475</xdr:colOff>
      <xdr:row>8</xdr:row>
      <xdr:rowOff>71120</xdr:rowOff>
    </xdr:to>
    <xdr:pic>
      <xdr:nvPicPr>
        <xdr:cNvPr id="61" name="ID_742E90CBE26740019D9A1FE04E8C995D"/>
        <xdr:cNvPicPr>
          <a:picLocks noChangeAspect="1"/>
        </xdr:cNvPicPr>
      </xdr:nvPicPr>
      <xdr:blipFill>
        <a:blip r:embed="rId12"/>
        <a:stretch>
          <a:fillRect/>
        </a:stretch>
      </xdr:blipFill>
      <xdr:spPr>
        <a:xfrm>
          <a:off x="929640" y="6908800"/>
          <a:ext cx="2511425" cy="1493520"/>
        </a:xfrm>
        <a:prstGeom prst="rect">
          <a:avLst/>
        </a:prstGeom>
      </xdr:spPr>
    </xdr:pic>
    <xdr:clientData/>
  </xdr:twoCellAnchor>
  <xdr:twoCellAnchor editAs="oneCell">
    <xdr:from>
      <xdr:col>0</xdr:col>
      <xdr:colOff>0</xdr:colOff>
      <xdr:row>0</xdr:row>
      <xdr:rowOff>0</xdr:rowOff>
    </xdr:from>
    <xdr:to>
      <xdr:col>3</xdr:col>
      <xdr:colOff>601980</xdr:colOff>
      <xdr:row>13</xdr:row>
      <xdr:rowOff>165100</xdr:rowOff>
    </xdr:to>
    <xdr:pic>
      <xdr:nvPicPr>
        <xdr:cNvPr id="65" name="ID_3E5E0D45B9E64914B92FAA3A02A4AC93"/>
        <xdr:cNvPicPr>
          <a:picLocks noChangeAspect="1"/>
        </xdr:cNvPicPr>
      </xdr:nvPicPr>
      <xdr:blipFill>
        <a:blip r:embed="rId23"/>
        <a:stretch>
          <a:fillRect/>
        </a:stretch>
      </xdr:blipFill>
      <xdr:spPr>
        <a:xfrm>
          <a:off x="1383030" y="6460490"/>
          <a:ext cx="2487930" cy="2476500"/>
        </a:xfrm>
        <a:prstGeom prst="rect">
          <a:avLst/>
        </a:prstGeom>
      </xdr:spPr>
    </xdr:pic>
    <xdr:clientData/>
  </xdr:twoCellAnchor>
  <xdr:twoCellAnchor editAs="oneCell">
    <xdr:from>
      <xdr:col>0</xdr:col>
      <xdr:colOff>0</xdr:colOff>
      <xdr:row>0</xdr:row>
      <xdr:rowOff>0</xdr:rowOff>
    </xdr:from>
    <xdr:to>
      <xdr:col>1</xdr:col>
      <xdr:colOff>546100</xdr:colOff>
      <xdr:row>6</xdr:row>
      <xdr:rowOff>121285</xdr:rowOff>
    </xdr:to>
    <xdr:pic>
      <xdr:nvPicPr>
        <xdr:cNvPr id="66" name="ID_FC74DF890C58414391C36BDA90B3718A"/>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1270" y="1206500"/>
          <a:ext cx="1174750" cy="1188085"/>
        </a:xfrm>
        <a:prstGeom prst="rect">
          <a:avLst/>
        </a:prstGeom>
      </xdr:spPr>
    </xdr:pic>
    <xdr:clientData/>
  </xdr:twoCellAnchor>
  <xdr:twoCellAnchor editAs="oneCell">
    <xdr:from>
      <xdr:col>0</xdr:col>
      <xdr:colOff>0</xdr:colOff>
      <xdr:row>0</xdr:row>
      <xdr:rowOff>0</xdr:rowOff>
    </xdr:from>
    <xdr:to>
      <xdr:col>1</xdr:col>
      <xdr:colOff>38735</xdr:colOff>
      <xdr:row>3</xdr:row>
      <xdr:rowOff>130810</xdr:rowOff>
    </xdr:to>
    <xdr:pic>
      <xdr:nvPicPr>
        <xdr:cNvPr id="6" name="ID_F3AFEE223CA74EBC9DC67BEE17AE66C7" descr="中心32"/>
        <xdr:cNvPicPr>
          <a:picLocks noChangeAspect="1"/>
        </xdr:cNvPicPr>
      </xdr:nvPicPr>
      <xdr:blipFill>
        <a:blip r:embed="rId25"/>
        <a:stretch>
          <a:fillRect/>
        </a:stretch>
      </xdr:blipFill>
      <xdr:spPr>
        <a:xfrm>
          <a:off x="20201890" y="6649085"/>
          <a:ext cx="667385" cy="664210"/>
        </a:xfrm>
        <a:prstGeom prst="rect">
          <a:avLst/>
        </a:prstGeom>
      </xdr:spPr>
    </xdr:pic>
    <xdr:clientData/>
  </xdr:twoCellAnchor>
  <xdr:twoCellAnchor editAs="oneCell">
    <xdr:from>
      <xdr:col>0</xdr:col>
      <xdr:colOff>0</xdr:colOff>
      <xdr:row>0</xdr:row>
      <xdr:rowOff>0</xdr:rowOff>
    </xdr:from>
    <xdr:to>
      <xdr:col>1</xdr:col>
      <xdr:colOff>285750</xdr:colOff>
      <xdr:row>2</xdr:row>
      <xdr:rowOff>101600</xdr:rowOff>
    </xdr:to>
    <xdr:pic>
      <xdr:nvPicPr>
        <xdr:cNvPr id="9" name="ID_7908D39EEAA34C6C8E7513F8FECDFB7E"/>
        <xdr:cNvPicPr>
          <a:picLocks noChangeAspect="1"/>
        </xdr:cNvPicPr>
      </xdr:nvPicPr>
      <xdr:blipFill>
        <a:blip r:embed="rId11"/>
        <a:stretch>
          <a:fillRect/>
        </a:stretch>
      </xdr:blipFill>
      <xdr:spPr>
        <a:xfrm>
          <a:off x="1140460" y="6397625"/>
          <a:ext cx="914400" cy="457200"/>
        </a:xfrm>
        <a:prstGeom prst="rect">
          <a:avLst/>
        </a:prstGeom>
      </xdr:spPr>
    </xdr:pic>
    <xdr:clientData/>
  </xdr:twoCellAnchor>
  <xdr:twoCellAnchor editAs="oneCell">
    <xdr:from>
      <xdr:col>0</xdr:col>
      <xdr:colOff>0</xdr:colOff>
      <xdr:row>0</xdr:row>
      <xdr:rowOff>0</xdr:rowOff>
    </xdr:from>
    <xdr:to>
      <xdr:col>1</xdr:col>
      <xdr:colOff>38100</xdr:colOff>
      <xdr:row>3</xdr:row>
      <xdr:rowOff>133350</xdr:rowOff>
    </xdr:to>
    <xdr:pic>
      <xdr:nvPicPr>
        <xdr:cNvPr id="35" name="ID_792B067B6E5A4883B91DFB87C9EF9AF2" descr="职业分支图标_尖兵"/>
        <xdr:cNvPicPr/>
      </xdr:nvPicPr>
      <xdr:blipFill>
        <a:blip r:embed="rId26"/>
        <a:stretch>
          <a:fillRect/>
        </a:stretch>
      </xdr:blipFill>
      <xdr:spPr>
        <a:xfrm>
          <a:off x="0" y="0"/>
          <a:ext cx="666750" cy="666750"/>
        </a:xfrm>
        <a:prstGeom prst="rect">
          <a:avLst/>
        </a:prstGeom>
      </xdr:spPr>
    </xdr:pic>
    <xdr:clientData/>
  </xdr:twoCellAnchor>
  <xdr:twoCellAnchor editAs="oneCell">
    <xdr:from>
      <xdr:col>0</xdr:col>
      <xdr:colOff>0</xdr:colOff>
      <xdr:row>0</xdr:row>
      <xdr:rowOff>0</xdr:rowOff>
    </xdr:from>
    <xdr:to>
      <xdr:col>3</xdr:col>
      <xdr:colOff>552450</xdr:colOff>
      <xdr:row>13</xdr:row>
      <xdr:rowOff>127000</xdr:rowOff>
    </xdr:to>
    <xdr:pic>
      <xdr:nvPicPr>
        <xdr:cNvPr id="14" name="ID_9423E31730AF44A6886F6782D7D46033" descr="图标_职业_先锋_大图"/>
        <xdr:cNvPicPr/>
      </xdr:nvPicPr>
      <xdr:blipFill>
        <a:blip r:embed="rId27"/>
        <a:stretch>
          <a:fillRect/>
        </a:stretch>
      </xdr:blipFill>
      <xdr:spPr>
        <a:xfrm>
          <a:off x="0" y="0"/>
          <a:ext cx="2438400" cy="2438400"/>
        </a:xfrm>
        <a:prstGeom prst="rect">
          <a:avLst/>
        </a:prstGeom>
      </xdr:spPr>
    </xdr:pic>
    <xdr:clientData/>
  </xdr:twoCellAnchor>
  <xdr:twoCellAnchor editAs="oneCell">
    <xdr:from>
      <xdr:col>0</xdr:col>
      <xdr:colOff>0</xdr:colOff>
      <xdr:row>0</xdr:row>
      <xdr:rowOff>0</xdr:rowOff>
    </xdr:from>
    <xdr:to>
      <xdr:col>1</xdr:col>
      <xdr:colOff>609600</xdr:colOff>
      <xdr:row>6</xdr:row>
      <xdr:rowOff>171450</xdr:rowOff>
    </xdr:to>
    <xdr:pic>
      <xdr:nvPicPr>
        <xdr:cNvPr id="17" name="ID_83497D9D197843F1A9F58B9E776F6CA0" descr="剑雨"/>
        <xdr:cNvPicPr/>
      </xdr:nvPicPr>
      <xdr:blipFill>
        <a:blip r:embed="rId28"/>
        <a:stretch>
          <a:fillRect/>
        </a:stretch>
      </xdr:blipFill>
      <xdr:spPr>
        <a:xfrm>
          <a:off x="0" y="0"/>
          <a:ext cx="1238250" cy="1238250"/>
        </a:xfrm>
        <a:prstGeom prst="rect">
          <a:avLst/>
        </a:prstGeom>
      </xdr:spPr>
    </xdr:pic>
    <xdr:clientData/>
  </xdr:twoCellAnchor>
  <xdr:twoCellAnchor editAs="oneCell">
    <xdr:from>
      <xdr:col>0</xdr:col>
      <xdr:colOff>0</xdr:colOff>
      <xdr:row>0</xdr:row>
      <xdr:rowOff>0</xdr:rowOff>
    </xdr:from>
    <xdr:to>
      <xdr:col>0</xdr:col>
      <xdr:colOff>457200</xdr:colOff>
      <xdr:row>3</xdr:row>
      <xdr:rowOff>47625</xdr:rowOff>
    </xdr:to>
    <xdr:pic>
      <xdr:nvPicPr>
        <xdr:cNvPr id="18" name="ID_B67E5DDDEF70426CA019D046D94CEEC1" descr="职业分支图标_守护者"/>
        <xdr:cNvPicPr/>
      </xdr:nvPicPr>
      <xdr:blipFill>
        <a:blip r:embed="rId29"/>
        <a:stretch>
          <a:fillRect/>
        </a:stretch>
      </xdr:blipFill>
      <xdr:spPr>
        <a:xfrm>
          <a:off x="0" y="0"/>
          <a:ext cx="457200" cy="581025"/>
        </a:xfrm>
        <a:prstGeom prst="rect">
          <a:avLst/>
        </a:prstGeom>
      </xdr:spPr>
    </xdr:pic>
    <xdr:clientData/>
  </xdr:twoCellAnchor>
  <xdr:twoCellAnchor editAs="oneCell">
    <xdr:from>
      <xdr:col>0</xdr:col>
      <xdr:colOff>0</xdr:colOff>
      <xdr:row>0</xdr:row>
      <xdr:rowOff>0</xdr:rowOff>
    </xdr:from>
    <xdr:to>
      <xdr:col>3</xdr:col>
      <xdr:colOff>552450</xdr:colOff>
      <xdr:row>13</xdr:row>
      <xdr:rowOff>127000</xdr:rowOff>
    </xdr:to>
    <xdr:pic>
      <xdr:nvPicPr>
        <xdr:cNvPr id="19" name="ID_CFCF10DCBA314A9AA5E7CA7AD8D31697" descr="图标_职业_重装_大图"/>
        <xdr:cNvPicPr/>
      </xdr:nvPicPr>
      <xdr:blipFill>
        <a:blip r:embed="rId30"/>
        <a:stretch>
          <a:fillRect/>
        </a:stretch>
      </xdr:blipFill>
      <xdr:spPr>
        <a:xfrm>
          <a:off x="0" y="0"/>
          <a:ext cx="2438400" cy="2438400"/>
        </a:xfrm>
        <a:prstGeom prst="rect">
          <a:avLst/>
        </a:prstGeom>
      </xdr:spPr>
    </xdr:pic>
    <xdr:clientData/>
  </xdr:twoCellAnchor>
  <xdr:twoCellAnchor editAs="oneCell">
    <xdr:from>
      <xdr:col>0</xdr:col>
      <xdr:colOff>0</xdr:colOff>
      <xdr:row>0</xdr:row>
      <xdr:rowOff>0</xdr:rowOff>
    </xdr:from>
    <xdr:to>
      <xdr:col>0</xdr:col>
      <xdr:colOff>495300</xdr:colOff>
      <xdr:row>1</xdr:row>
      <xdr:rowOff>69850</xdr:rowOff>
    </xdr:to>
    <xdr:pic>
      <xdr:nvPicPr>
        <xdr:cNvPr id="21" name="ID_8D09830AA62B4233B741B0F0670BC711" descr="一格"/>
        <xdr:cNvPicPr/>
      </xdr:nvPicPr>
      <xdr:blipFill>
        <a:blip r:embed="rId11"/>
        <a:stretch>
          <a:fillRect/>
        </a:stretch>
      </xdr:blipFill>
      <xdr:spPr>
        <a:xfrm>
          <a:off x="0" y="0"/>
          <a:ext cx="495300" cy="247650"/>
        </a:xfrm>
        <a:prstGeom prst="rect">
          <a:avLst/>
        </a:prstGeom>
      </xdr:spPr>
    </xdr:pic>
    <xdr:clientData/>
  </xdr:twoCellAnchor>
  <xdr:twoCellAnchor editAs="oneCell">
    <xdr:from>
      <xdr:col>0</xdr:col>
      <xdr:colOff>0</xdr:colOff>
      <xdr:row>0</xdr:row>
      <xdr:rowOff>0</xdr:rowOff>
    </xdr:from>
    <xdr:to>
      <xdr:col>1</xdr:col>
      <xdr:colOff>609600</xdr:colOff>
      <xdr:row>6</xdr:row>
      <xdr:rowOff>171450</xdr:rowOff>
    </xdr:to>
    <xdr:pic>
      <xdr:nvPicPr>
        <xdr:cNvPr id="29" name="ID_A874CB211EF44B9AA4733DB874EC56FE" descr="剑雨"/>
        <xdr:cNvPicPr/>
      </xdr:nvPicPr>
      <xdr:blipFill>
        <a:blip r:embed="rId28"/>
        <a:stretch>
          <a:fillRect/>
        </a:stretch>
      </xdr:blipFill>
      <xdr:spPr>
        <a:xfrm>
          <a:off x="0" y="0"/>
          <a:ext cx="1238250" cy="1238250"/>
        </a:xfrm>
        <a:prstGeom prst="rect">
          <a:avLst/>
        </a:prstGeom>
      </xdr:spPr>
    </xdr:pic>
    <xdr:clientData/>
  </xdr:twoCellAnchor>
  <xdr:twoCellAnchor editAs="oneCell">
    <xdr:from>
      <xdr:col>0</xdr:col>
      <xdr:colOff>0</xdr:colOff>
      <xdr:row>0</xdr:row>
      <xdr:rowOff>0</xdr:rowOff>
    </xdr:from>
    <xdr:to>
      <xdr:col>1</xdr:col>
      <xdr:colOff>114300</xdr:colOff>
      <xdr:row>4</xdr:row>
      <xdr:rowOff>31750</xdr:rowOff>
    </xdr:to>
    <xdr:pic>
      <xdr:nvPicPr>
        <xdr:cNvPr id="30" name="ID_6E6B59E639884C05B5C7574D29E44A07" descr="圈"/>
        <xdr:cNvPicPr/>
      </xdr:nvPicPr>
      <xdr:blipFill>
        <a:blip r:embed="rId4"/>
        <a:stretch>
          <a:fillRect/>
        </a:stretch>
      </xdr:blipFill>
      <xdr:spPr>
        <a:xfrm>
          <a:off x="0" y="0"/>
          <a:ext cx="742950" cy="742950"/>
        </a:xfrm>
        <a:prstGeom prst="rect">
          <a:avLst/>
        </a:prstGeom>
      </xdr:spPr>
    </xdr:pic>
    <xdr:clientData/>
  </xdr:twoCellAnchor>
  <xdr:twoCellAnchor editAs="oneCell">
    <xdr:from>
      <xdr:col>0</xdr:col>
      <xdr:colOff>0</xdr:colOff>
      <xdr:row>0</xdr:row>
      <xdr:rowOff>0</xdr:rowOff>
    </xdr:from>
    <xdr:to>
      <xdr:col>1</xdr:col>
      <xdr:colOff>114300</xdr:colOff>
      <xdr:row>6</xdr:row>
      <xdr:rowOff>171450</xdr:rowOff>
    </xdr:to>
    <xdr:pic>
      <xdr:nvPicPr>
        <xdr:cNvPr id="40" name="ID_8C143B6130C74BFAB464C18C45A97D5D" descr="半三角"/>
        <xdr:cNvPicPr/>
      </xdr:nvPicPr>
      <xdr:blipFill>
        <a:blip r:embed="rId31"/>
        <a:stretch>
          <a:fillRect/>
        </a:stretch>
      </xdr:blipFill>
      <xdr:spPr>
        <a:xfrm>
          <a:off x="0" y="0"/>
          <a:ext cx="742950" cy="1238250"/>
        </a:xfrm>
        <a:prstGeom prst="rect">
          <a:avLst/>
        </a:prstGeom>
      </xdr:spPr>
    </xdr:pic>
    <xdr:clientData/>
  </xdr:twoCellAnchor>
  <xdr:twoCellAnchor editAs="oneCell">
    <xdr:from>
      <xdr:col>0</xdr:col>
      <xdr:colOff>0</xdr:colOff>
      <xdr:row>0</xdr:row>
      <xdr:rowOff>0</xdr:rowOff>
    </xdr:from>
    <xdr:to>
      <xdr:col>1</xdr:col>
      <xdr:colOff>361950</xdr:colOff>
      <xdr:row>4</xdr:row>
      <xdr:rowOff>31750</xdr:rowOff>
    </xdr:to>
    <xdr:pic>
      <xdr:nvPicPr>
        <xdr:cNvPr id="41" name="ID_E2CF29B120684B08906AFCDD89C491E4" descr="狙击"/>
        <xdr:cNvPicPr/>
      </xdr:nvPicPr>
      <xdr:blipFill>
        <a:blip r:embed="rId9" r:link="rId7"/>
        <a:stretch>
          <a:fillRect/>
        </a:stretch>
      </xdr:blipFill>
      <xdr:spPr>
        <a:xfrm>
          <a:off x="0" y="0"/>
          <a:ext cx="990600" cy="742950"/>
        </a:xfrm>
        <a:prstGeom prst="rect">
          <a:avLst/>
        </a:prstGeom>
      </xdr:spPr>
    </xdr:pic>
    <xdr:clientData/>
  </xdr:twoCellAnchor>
  <xdr:twoCellAnchor editAs="oneCell">
    <xdr:from>
      <xdr:col>0</xdr:col>
      <xdr:colOff>0</xdr:colOff>
      <xdr:row>0</xdr:row>
      <xdr:rowOff>0</xdr:rowOff>
    </xdr:from>
    <xdr:to>
      <xdr:col>1</xdr:col>
      <xdr:colOff>361950</xdr:colOff>
      <xdr:row>4</xdr:row>
      <xdr:rowOff>31750</xdr:rowOff>
    </xdr:to>
    <xdr:pic>
      <xdr:nvPicPr>
        <xdr:cNvPr id="44" name="ID_8D4B69DDED7440F2A118EE13FA90BFFB" descr="狙击"/>
        <xdr:cNvPicPr/>
      </xdr:nvPicPr>
      <xdr:blipFill>
        <a:blip r:embed="rId9" r:link="rId7"/>
        <a:stretch>
          <a:fillRect/>
        </a:stretch>
      </xdr:blipFill>
      <xdr:spPr>
        <a:xfrm>
          <a:off x="0" y="0"/>
          <a:ext cx="990600" cy="742950"/>
        </a:xfrm>
        <a:prstGeom prst="rect">
          <a:avLst/>
        </a:prstGeom>
      </xdr:spPr>
    </xdr:pic>
    <xdr:clientData/>
  </xdr:twoCellAnchor>
  <xdr:twoCellAnchor editAs="oneCell">
    <xdr:from>
      <xdr:col>0</xdr:col>
      <xdr:colOff>0</xdr:colOff>
      <xdr:row>0</xdr:row>
      <xdr:rowOff>0</xdr:rowOff>
    </xdr:from>
    <xdr:to>
      <xdr:col>0</xdr:col>
      <xdr:colOff>457200</xdr:colOff>
      <xdr:row>3</xdr:row>
      <xdr:rowOff>47625</xdr:rowOff>
    </xdr:to>
    <xdr:pic>
      <xdr:nvPicPr>
        <xdr:cNvPr id="46" name="ID_CF9D1CFE5AB345FF9652F132DF3E85FA" descr="职业分支图标_守护者"/>
        <xdr:cNvPicPr/>
      </xdr:nvPicPr>
      <xdr:blipFill>
        <a:blip r:embed="rId29"/>
        <a:stretch>
          <a:fillRect/>
        </a:stretch>
      </xdr:blipFill>
      <xdr:spPr>
        <a:xfrm>
          <a:off x="0" y="0"/>
          <a:ext cx="457200" cy="581025"/>
        </a:xfrm>
        <a:prstGeom prst="rect">
          <a:avLst/>
        </a:prstGeom>
      </xdr:spPr>
    </xdr:pic>
    <xdr:clientData/>
  </xdr:twoCellAnchor>
  <xdr:twoCellAnchor editAs="oneCell">
    <xdr:from>
      <xdr:col>0</xdr:col>
      <xdr:colOff>0</xdr:colOff>
      <xdr:row>0</xdr:row>
      <xdr:rowOff>0</xdr:rowOff>
    </xdr:from>
    <xdr:to>
      <xdr:col>1</xdr:col>
      <xdr:colOff>609600</xdr:colOff>
      <xdr:row>6</xdr:row>
      <xdr:rowOff>171450</xdr:rowOff>
    </xdr:to>
    <xdr:pic>
      <xdr:nvPicPr>
        <xdr:cNvPr id="48" name="ID_FB3A043630614760B698277D03B82734" descr="剑雨"/>
        <xdr:cNvPicPr/>
      </xdr:nvPicPr>
      <xdr:blipFill>
        <a:blip r:embed="rId28"/>
        <a:stretch>
          <a:fillRect/>
        </a:stretch>
      </xdr:blipFill>
      <xdr:spPr>
        <a:xfrm>
          <a:off x="0" y="0"/>
          <a:ext cx="1238250" cy="1238250"/>
        </a:xfrm>
        <a:prstGeom prst="rect">
          <a:avLst/>
        </a:prstGeom>
      </xdr:spPr>
    </xdr:pic>
    <xdr:clientData/>
  </xdr:twoCellAnchor>
  <xdr:twoCellAnchor editAs="oneCell">
    <xdr:from>
      <xdr:col>0</xdr:col>
      <xdr:colOff>0</xdr:colOff>
      <xdr:row>0</xdr:row>
      <xdr:rowOff>0</xdr:rowOff>
    </xdr:from>
    <xdr:to>
      <xdr:col>0</xdr:col>
      <xdr:colOff>590550</xdr:colOff>
      <xdr:row>3</xdr:row>
      <xdr:rowOff>19050</xdr:rowOff>
    </xdr:to>
    <xdr:pic>
      <xdr:nvPicPr>
        <xdr:cNvPr id="53" name="ID_44592E6BD30A44C79E6FE4556A882D03" descr="职业分支图标_吟游者"/>
        <xdr:cNvPicPr/>
      </xdr:nvPicPr>
      <xdr:blipFill>
        <a:blip r:embed="rId32"/>
        <a:stretch>
          <a:fillRect/>
        </a:stretch>
      </xdr:blipFill>
      <xdr:spPr>
        <a:xfrm>
          <a:off x="0" y="0"/>
          <a:ext cx="590550" cy="552450"/>
        </a:xfrm>
        <a:prstGeom prst="rect">
          <a:avLst/>
        </a:prstGeom>
      </xdr:spPr>
    </xdr:pic>
    <xdr:clientData/>
  </xdr:twoCellAnchor>
  <xdr:twoCellAnchor editAs="oneCell">
    <xdr:from>
      <xdr:col>0</xdr:col>
      <xdr:colOff>0</xdr:colOff>
      <xdr:row>0</xdr:row>
      <xdr:rowOff>0</xdr:rowOff>
    </xdr:from>
    <xdr:to>
      <xdr:col>3</xdr:col>
      <xdr:colOff>552450</xdr:colOff>
      <xdr:row>13</xdr:row>
      <xdr:rowOff>127000</xdr:rowOff>
    </xdr:to>
    <xdr:pic>
      <xdr:nvPicPr>
        <xdr:cNvPr id="56" name="ID_A7A0BBEF03284B95B3B237F31C2558B2" descr="图标_职业_辅助_大图"/>
        <xdr:cNvPicPr/>
      </xdr:nvPicPr>
      <xdr:blipFill>
        <a:blip r:embed="rId33"/>
        <a:stretch>
          <a:fillRect/>
        </a:stretch>
      </xdr:blipFill>
      <xdr:spPr>
        <a:xfrm>
          <a:off x="0" y="0"/>
          <a:ext cx="2438400" cy="2438400"/>
        </a:xfrm>
        <a:prstGeom prst="rect">
          <a:avLst/>
        </a:prstGeom>
      </xdr:spPr>
    </xdr:pic>
    <xdr:clientData/>
  </xdr:twoCellAnchor>
  <xdr:twoCellAnchor editAs="oneCell">
    <xdr:from>
      <xdr:col>0</xdr:col>
      <xdr:colOff>0</xdr:colOff>
      <xdr:row>0</xdr:row>
      <xdr:rowOff>0</xdr:rowOff>
    </xdr:from>
    <xdr:to>
      <xdr:col>1</xdr:col>
      <xdr:colOff>361950</xdr:colOff>
      <xdr:row>4</xdr:row>
      <xdr:rowOff>31750</xdr:rowOff>
    </xdr:to>
    <xdr:pic>
      <xdr:nvPicPr>
        <xdr:cNvPr id="57" name="ID_45B51E361A754A398FB3DF992A78D3E8" descr="狙击"/>
        <xdr:cNvPicPr/>
      </xdr:nvPicPr>
      <xdr:blipFill>
        <a:blip r:embed="rId9" r:link="rId7"/>
        <a:stretch>
          <a:fillRect/>
        </a:stretch>
      </xdr:blipFill>
      <xdr:spPr>
        <a:xfrm>
          <a:off x="0" y="0"/>
          <a:ext cx="990600" cy="742950"/>
        </a:xfrm>
        <a:prstGeom prst="rect">
          <a:avLst/>
        </a:prstGeom>
      </xdr:spPr>
    </xdr:pic>
    <xdr:clientData/>
  </xdr:twoCellAnchor>
  <xdr:twoCellAnchor editAs="oneCell">
    <xdr:from>
      <xdr:col>0</xdr:col>
      <xdr:colOff>0</xdr:colOff>
      <xdr:row>0</xdr:row>
      <xdr:rowOff>0</xdr:rowOff>
    </xdr:from>
    <xdr:to>
      <xdr:col>1</xdr:col>
      <xdr:colOff>0</xdr:colOff>
      <xdr:row>3</xdr:row>
      <xdr:rowOff>95250</xdr:rowOff>
    </xdr:to>
    <xdr:pic>
      <xdr:nvPicPr>
        <xdr:cNvPr id="58" name="ID_1B0E4F6251AE402BA151B0200FFC6623" descr="职业分支图标_战术家"/>
        <xdr:cNvPicPr/>
      </xdr:nvPicPr>
      <xdr:blipFill>
        <a:blip r:embed="rId34"/>
        <a:stretch>
          <a:fillRect/>
        </a:stretch>
      </xdr:blipFill>
      <xdr:spPr>
        <a:xfrm>
          <a:off x="0" y="0"/>
          <a:ext cx="628650" cy="628650"/>
        </a:xfrm>
        <a:prstGeom prst="rect">
          <a:avLst/>
        </a:prstGeom>
      </xdr:spPr>
    </xdr:pic>
    <xdr:clientData/>
  </xdr:twoCellAnchor>
  <xdr:twoCellAnchor editAs="oneCell">
    <xdr:from>
      <xdr:col>0</xdr:col>
      <xdr:colOff>0</xdr:colOff>
      <xdr:row>0</xdr:row>
      <xdr:rowOff>0</xdr:rowOff>
    </xdr:from>
    <xdr:to>
      <xdr:col>3</xdr:col>
      <xdr:colOff>552450</xdr:colOff>
      <xdr:row>13</xdr:row>
      <xdr:rowOff>127000</xdr:rowOff>
    </xdr:to>
    <xdr:pic>
      <xdr:nvPicPr>
        <xdr:cNvPr id="60" name="ID_B47122EA52C94B5995CA8EC5B734ADF9" descr="图标_职业_先锋_大图"/>
        <xdr:cNvPicPr/>
      </xdr:nvPicPr>
      <xdr:blipFill>
        <a:blip r:embed="rId27"/>
        <a:stretch>
          <a:fillRect/>
        </a:stretch>
      </xdr:blipFill>
      <xdr:spPr>
        <a:xfrm>
          <a:off x="0" y="0"/>
          <a:ext cx="2438400" cy="2438400"/>
        </a:xfrm>
        <a:prstGeom prst="rect">
          <a:avLst/>
        </a:prstGeom>
      </xdr:spPr>
    </xdr:pic>
    <xdr:clientData/>
  </xdr:twoCellAnchor>
  <xdr:twoCellAnchor editAs="oneCell">
    <xdr:from>
      <xdr:col>0</xdr:col>
      <xdr:colOff>0</xdr:colOff>
      <xdr:row>0</xdr:row>
      <xdr:rowOff>0</xdr:rowOff>
    </xdr:from>
    <xdr:to>
      <xdr:col>3</xdr:col>
      <xdr:colOff>552450</xdr:colOff>
      <xdr:row>13</xdr:row>
      <xdr:rowOff>127000</xdr:rowOff>
    </xdr:to>
    <xdr:pic>
      <xdr:nvPicPr>
        <xdr:cNvPr id="62" name="ID_D6F4F8F55CDD486DBA32920D72CC8142" descr="图标_职业_特种_大图"/>
        <xdr:cNvPicPr/>
      </xdr:nvPicPr>
      <xdr:blipFill>
        <a:blip r:embed="rId35"/>
        <a:stretch>
          <a:fillRect/>
        </a:stretch>
      </xdr:blipFill>
      <xdr:spPr>
        <a:xfrm>
          <a:off x="0" y="0"/>
          <a:ext cx="2438400" cy="2438400"/>
        </a:xfrm>
        <a:prstGeom prst="rect">
          <a:avLst/>
        </a:prstGeom>
      </xdr:spPr>
    </xdr:pic>
    <xdr:clientData/>
  </xdr:twoCellAnchor>
  <xdr:twoCellAnchor editAs="oneCell">
    <xdr:from>
      <xdr:col>0</xdr:col>
      <xdr:colOff>0</xdr:colOff>
      <xdr:row>0</xdr:row>
      <xdr:rowOff>0</xdr:rowOff>
    </xdr:from>
    <xdr:to>
      <xdr:col>0</xdr:col>
      <xdr:colOff>495300</xdr:colOff>
      <xdr:row>1</xdr:row>
      <xdr:rowOff>69850</xdr:rowOff>
    </xdr:to>
    <xdr:pic>
      <xdr:nvPicPr>
        <xdr:cNvPr id="68" name="ID_A92604E3F2964BA3BAE30375E052A709" descr="一格"/>
        <xdr:cNvPicPr/>
      </xdr:nvPicPr>
      <xdr:blipFill>
        <a:blip r:embed="rId11"/>
        <a:stretch>
          <a:fillRect/>
        </a:stretch>
      </xdr:blipFill>
      <xdr:spPr>
        <a:xfrm>
          <a:off x="0" y="0"/>
          <a:ext cx="495300" cy="247650"/>
        </a:xfrm>
        <a:prstGeom prst="rect">
          <a:avLst/>
        </a:prstGeom>
      </xdr:spPr>
    </xdr:pic>
    <xdr:clientData/>
  </xdr:twoCellAnchor>
  <xdr:twoCellAnchor editAs="oneCell">
    <xdr:from>
      <xdr:col>0</xdr:col>
      <xdr:colOff>0</xdr:colOff>
      <xdr:row>0</xdr:row>
      <xdr:rowOff>0</xdr:rowOff>
    </xdr:from>
    <xdr:to>
      <xdr:col>1</xdr:col>
      <xdr:colOff>114300</xdr:colOff>
      <xdr:row>4</xdr:row>
      <xdr:rowOff>31750</xdr:rowOff>
    </xdr:to>
    <xdr:pic>
      <xdr:nvPicPr>
        <xdr:cNvPr id="69" name="ID_43EFE553F0214BC690897F2A4F9BAA95" descr="圈"/>
        <xdr:cNvPicPr/>
      </xdr:nvPicPr>
      <xdr:blipFill>
        <a:blip r:embed="rId4"/>
        <a:stretch>
          <a:fillRect/>
        </a:stretch>
      </xdr:blipFill>
      <xdr:spPr>
        <a:xfrm>
          <a:off x="0" y="0"/>
          <a:ext cx="742950" cy="742950"/>
        </a:xfrm>
        <a:prstGeom prst="rect">
          <a:avLst/>
        </a:prstGeom>
      </xdr:spPr>
    </xdr:pic>
    <xdr:clientData/>
  </xdr:twoCellAnchor>
  <xdr:twoCellAnchor editAs="oneCell">
    <xdr:from>
      <xdr:col>0</xdr:col>
      <xdr:colOff>0</xdr:colOff>
      <xdr:row>0</xdr:row>
      <xdr:rowOff>0</xdr:rowOff>
    </xdr:from>
    <xdr:to>
      <xdr:col>0</xdr:col>
      <xdr:colOff>609600</xdr:colOff>
      <xdr:row>2</xdr:row>
      <xdr:rowOff>111125</xdr:rowOff>
    </xdr:to>
    <xdr:pic>
      <xdr:nvPicPr>
        <xdr:cNvPr id="81" name="ID_48F41A9A0A794D55AFE46827982439E5" descr="职业分支图标_处决者"/>
        <xdr:cNvPicPr/>
      </xdr:nvPicPr>
      <xdr:blipFill>
        <a:blip r:embed="rId36"/>
        <a:stretch>
          <a:fillRect/>
        </a:stretch>
      </xdr:blipFill>
      <xdr:spPr>
        <a:xfrm>
          <a:off x="0" y="0"/>
          <a:ext cx="609600" cy="466725"/>
        </a:xfrm>
        <a:prstGeom prst="rect">
          <a:avLst/>
        </a:prstGeom>
      </xdr:spPr>
    </xdr:pic>
    <xdr:clientData/>
  </xdr:twoCellAnchor>
  <xdr:twoCellAnchor editAs="oneCell">
    <xdr:from>
      <xdr:col>0</xdr:col>
      <xdr:colOff>0</xdr:colOff>
      <xdr:row>0</xdr:row>
      <xdr:rowOff>0</xdr:rowOff>
    </xdr:from>
    <xdr:to>
      <xdr:col>1</xdr:col>
      <xdr:colOff>609600</xdr:colOff>
      <xdr:row>6</xdr:row>
      <xdr:rowOff>171450</xdr:rowOff>
    </xdr:to>
    <xdr:pic>
      <xdr:nvPicPr>
        <xdr:cNvPr id="82" name="ID_C5283FB0E1ED495784C9187B888A42D9" descr="剑雨"/>
        <xdr:cNvPicPr/>
      </xdr:nvPicPr>
      <xdr:blipFill>
        <a:blip r:embed="rId28"/>
        <a:stretch>
          <a:fillRect/>
        </a:stretch>
      </xdr:blipFill>
      <xdr:spPr>
        <a:xfrm>
          <a:off x="0" y="0"/>
          <a:ext cx="1238250" cy="1238250"/>
        </a:xfrm>
        <a:prstGeom prst="rect">
          <a:avLst/>
        </a:prstGeom>
      </xdr:spPr>
    </xdr:pic>
    <xdr:clientData/>
  </xdr:twoCellAnchor>
  <xdr:twoCellAnchor editAs="oneCell">
    <xdr:from>
      <xdr:col>0</xdr:col>
      <xdr:colOff>0</xdr:colOff>
      <xdr:row>0</xdr:row>
      <xdr:rowOff>0</xdr:rowOff>
    </xdr:from>
    <xdr:to>
      <xdr:col>1</xdr:col>
      <xdr:colOff>114300</xdr:colOff>
      <xdr:row>4</xdr:row>
      <xdr:rowOff>31750</xdr:rowOff>
    </xdr:to>
    <xdr:pic>
      <xdr:nvPicPr>
        <xdr:cNvPr id="83" name="ID_73AD8180311B4600898D2FE92FF52E63" descr="圈"/>
        <xdr:cNvPicPr/>
      </xdr:nvPicPr>
      <xdr:blipFill>
        <a:blip r:embed="rId4"/>
        <a:stretch>
          <a:fillRect/>
        </a:stretch>
      </xdr:blipFill>
      <xdr:spPr>
        <a:xfrm>
          <a:off x="0" y="0"/>
          <a:ext cx="742950" cy="742950"/>
        </a:xfrm>
        <a:prstGeom prst="rect">
          <a:avLst/>
        </a:prstGeom>
      </xdr:spPr>
    </xdr:pic>
    <xdr:clientData/>
  </xdr:twoCellAnchor>
  <xdr:twoCellAnchor editAs="oneCell">
    <xdr:from>
      <xdr:col>0</xdr:col>
      <xdr:colOff>0</xdr:colOff>
      <xdr:row>0</xdr:row>
      <xdr:rowOff>0</xdr:rowOff>
    </xdr:from>
    <xdr:to>
      <xdr:col>0</xdr:col>
      <xdr:colOff>369570</xdr:colOff>
      <xdr:row>3</xdr:row>
      <xdr:rowOff>21590</xdr:rowOff>
    </xdr:to>
    <xdr:pic>
      <xdr:nvPicPr>
        <xdr:cNvPr id="27" name="ID_F8079588F6A94777946C2A55ED103984" descr="控制区"/>
        <xdr:cNvPicPr>
          <a:picLocks noChangeAspect="1"/>
        </xdr:cNvPicPr>
      </xdr:nvPicPr>
      <xdr:blipFill>
        <a:blip r:embed="rId19"/>
        <a:stretch>
          <a:fillRect/>
        </a:stretch>
      </xdr:blipFill>
      <xdr:spPr>
        <a:xfrm>
          <a:off x="5845810" y="10583545"/>
          <a:ext cx="369570" cy="554990"/>
        </a:xfrm>
        <a:prstGeom prst="rect">
          <a:avLst/>
        </a:prstGeom>
      </xdr:spPr>
    </xdr:pic>
    <xdr:clientData/>
  </xdr:twoCellAnchor>
  <xdr:twoCellAnchor editAs="oneCell">
    <xdr:from>
      <xdr:col>0</xdr:col>
      <xdr:colOff>0</xdr:colOff>
      <xdr:row>0</xdr:row>
      <xdr:rowOff>0</xdr:rowOff>
    </xdr:from>
    <xdr:to>
      <xdr:col>1</xdr:col>
      <xdr:colOff>113030</xdr:colOff>
      <xdr:row>4</xdr:row>
      <xdr:rowOff>23495</xdr:rowOff>
    </xdr:to>
    <xdr:pic>
      <xdr:nvPicPr>
        <xdr:cNvPr id="74" name="ID_4DA85EF7DBBC423494A691E5A7349D9A" descr="3乘3"/>
        <xdr:cNvPicPr>
          <a:picLocks noChangeAspect="1"/>
        </xdr:cNvPicPr>
      </xdr:nvPicPr>
      <xdr:blipFill>
        <a:blip r:embed="rId4"/>
        <a:stretch>
          <a:fillRect/>
        </a:stretch>
      </xdr:blipFill>
      <xdr:spPr>
        <a:xfrm>
          <a:off x="11862435" y="1127125"/>
          <a:ext cx="741680" cy="734695"/>
        </a:xfrm>
        <a:prstGeom prst="rect">
          <a:avLst/>
        </a:prstGeom>
      </xdr:spPr>
    </xdr:pic>
    <xdr:clientData/>
  </xdr:twoCellAnchor>
  <xdr:twoCellAnchor editAs="oneCell">
    <xdr:from>
      <xdr:col>0</xdr:col>
      <xdr:colOff>0</xdr:colOff>
      <xdr:row>0</xdr:row>
      <xdr:rowOff>0</xdr:rowOff>
    </xdr:from>
    <xdr:to>
      <xdr:col>1</xdr:col>
      <xdr:colOff>361950</xdr:colOff>
      <xdr:row>1</xdr:row>
      <xdr:rowOff>72390</xdr:rowOff>
    </xdr:to>
    <xdr:pic>
      <xdr:nvPicPr>
        <xdr:cNvPr id="86" name="ID_9C3EED6571B446FD9204928516D04141" descr="1"/>
        <xdr:cNvPicPr>
          <a:picLocks noChangeAspect="1"/>
        </xdr:cNvPicPr>
      </xdr:nvPicPr>
      <xdr:blipFill>
        <a:blip r:embed="rId10" r:link="rId7"/>
        <a:stretch>
          <a:fillRect/>
        </a:stretch>
      </xdr:blipFill>
      <xdr:spPr>
        <a:xfrm>
          <a:off x="9006840" y="9093200"/>
          <a:ext cx="990600" cy="250190"/>
        </a:xfrm>
        <a:prstGeom prst="rect">
          <a:avLst/>
        </a:prstGeom>
      </xdr:spPr>
    </xdr:pic>
    <xdr:clientData/>
  </xdr:twoCellAnchor>
  <xdr:twoCellAnchor editAs="oneCell">
    <xdr:from>
      <xdr:col>0</xdr:col>
      <xdr:colOff>0</xdr:colOff>
      <xdr:row>0</xdr:row>
      <xdr:rowOff>0</xdr:rowOff>
    </xdr:from>
    <xdr:to>
      <xdr:col>1</xdr:col>
      <xdr:colOff>108585</xdr:colOff>
      <xdr:row>4</xdr:row>
      <xdr:rowOff>35560</xdr:rowOff>
    </xdr:to>
    <xdr:pic>
      <xdr:nvPicPr>
        <xdr:cNvPr id="67" name="ID_54C89963131846578FC36E23A0FFED17" descr="重射手"/>
        <xdr:cNvPicPr>
          <a:picLocks noChangeAspect="1"/>
        </xdr:cNvPicPr>
      </xdr:nvPicPr>
      <xdr:blipFill>
        <a:blip r:embed="rId37"/>
        <a:stretch>
          <a:fillRect/>
        </a:stretch>
      </xdr:blipFill>
      <xdr:spPr>
        <a:xfrm>
          <a:off x="12357100" y="1209675"/>
          <a:ext cx="737235" cy="746760"/>
        </a:xfrm>
        <a:prstGeom prst="rect">
          <a:avLst/>
        </a:prstGeom>
      </xdr:spPr>
    </xdr:pic>
    <xdr:clientData/>
  </xdr:twoCellAnchor>
  <xdr:twoCellAnchor editAs="oneCell">
    <xdr:from>
      <xdr:col>0</xdr:col>
      <xdr:colOff>0</xdr:colOff>
      <xdr:row>0</xdr:row>
      <xdr:rowOff>0</xdr:rowOff>
    </xdr:from>
    <xdr:to>
      <xdr:col>1</xdr:col>
      <xdr:colOff>163830</xdr:colOff>
      <xdr:row>3</xdr:row>
      <xdr:rowOff>60960</xdr:rowOff>
    </xdr:to>
    <xdr:pic>
      <xdr:nvPicPr>
        <xdr:cNvPr id="87" name="ID_A4A95ADCA26B463DB67D8D72B0A9DA21" descr="upload_post_object_v2_383006084"/>
        <xdr:cNvPicPr/>
      </xdr:nvPicPr>
      <xdr:blipFill>
        <a:blip r:embed="rId38"/>
        <a:stretch>
          <a:fillRect/>
        </a:stretch>
      </xdr:blipFill>
      <xdr:spPr>
        <a:xfrm>
          <a:off x="0" y="0"/>
          <a:ext cx="792480" cy="594360"/>
        </a:xfrm>
        <a:prstGeom prst="rect">
          <a:avLst/>
        </a:prstGeom>
      </xdr:spPr>
    </xdr:pic>
    <xdr:clientData/>
  </xdr:twoCellAnchor>
  <xdr:twoCellAnchor editAs="oneCell">
    <xdr:from>
      <xdr:col>0</xdr:col>
      <xdr:colOff>0</xdr:colOff>
      <xdr:row>0</xdr:row>
      <xdr:rowOff>0</xdr:rowOff>
    </xdr:from>
    <xdr:to>
      <xdr:col>0</xdr:col>
      <xdr:colOff>396240</xdr:colOff>
      <xdr:row>3</xdr:row>
      <xdr:rowOff>60960</xdr:rowOff>
    </xdr:to>
    <xdr:pic>
      <xdr:nvPicPr>
        <xdr:cNvPr id="85" name="ID_DA242BD9C971478B8F83339E81F6373C" descr="upload_post_object_v2_185539293"/>
        <xdr:cNvPicPr/>
      </xdr:nvPicPr>
      <xdr:blipFill>
        <a:blip r:embed="rId19"/>
        <a:stretch>
          <a:fillRect/>
        </a:stretch>
      </xdr:blipFill>
      <xdr:spPr>
        <a:xfrm>
          <a:off x="0" y="0"/>
          <a:ext cx="396240" cy="594360"/>
        </a:xfrm>
        <a:prstGeom prst="rect">
          <a:avLst/>
        </a:prstGeom>
      </xdr:spPr>
    </xdr:pic>
    <xdr:clientData/>
  </xdr:twoCellAnchor>
  <xdr:twoCellAnchor editAs="oneCell">
    <xdr:from>
      <xdr:col>0</xdr:col>
      <xdr:colOff>0</xdr:colOff>
      <xdr:row>0</xdr:row>
      <xdr:rowOff>0</xdr:rowOff>
    </xdr:from>
    <xdr:to>
      <xdr:col>0</xdr:col>
      <xdr:colOff>594360</xdr:colOff>
      <xdr:row>3</xdr:row>
      <xdr:rowOff>60960</xdr:rowOff>
    </xdr:to>
    <xdr:pic>
      <xdr:nvPicPr>
        <xdr:cNvPr id="88" name="ID_93AF71A716EA400F9D70DA11FAEEA65B" descr="upload_post_object_v2_4004393886"/>
        <xdr:cNvPicPr/>
      </xdr:nvPicPr>
      <xdr:blipFill>
        <a:blip r:embed="rId4"/>
        <a:stretch>
          <a:fillRect/>
        </a:stretch>
      </xdr:blipFill>
      <xdr:spPr>
        <a:xfrm>
          <a:off x="0" y="0"/>
          <a:ext cx="594360" cy="594360"/>
        </a:xfrm>
        <a:prstGeom prst="rect">
          <a:avLst/>
        </a:prstGeom>
      </xdr:spPr>
    </xdr:pic>
    <xdr:clientData/>
  </xdr:twoCellAnchor>
  <xdr:twoCellAnchor editAs="oneCell">
    <xdr:from>
      <xdr:col>0</xdr:col>
      <xdr:colOff>0</xdr:colOff>
      <xdr:row>0</xdr:row>
      <xdr:rowOff>0</xdr:rowOff>
    </xdr:from>
    <xdr:to>
      <xdr:col>1</xdr:col>
      <xdr:colOff>361950</xdr:colOff>
      <xdr:row>5</xdr:row>
      <xdr:rowOff>101600</xdr:rowOff>
    </xdr:to>
    <xdr:pic>
      <xdr:nvPicPr>
        <xdr:cNvPr id="89" name="ID_2233DE8728B74C83B8B630940C573489" descr="upload_post_object_v2_4033124857"/>
        <xdr:cNvPicPr/>
      </xdr:nvPicPr>
      <xdr:blipFill>
        <a:blip r:embed="rId28"/>
        <a:stretch>
          <a:fillRect/>
        </a:stretch>
      </xdr:blipFill>
      <xdr:spPr>
        <a:xfrm>
          <a:off x="0" y="0"/>
          <a:ext cx="990600" cy="990600"/>
        </a:xfrm>
        <a:prstGeom prst="rect">
          <a:avLst/>
        </a:prstGeom>
      </xdr:spPr>
    </xdr:pic>
    <xdr:clientData/>
  </xdr:twoCellAnchor>
  <xdr:twoCellAnchor editAs="oneCell">
    <xdr:from>
      <xdr:col>0</xdr:col>
      <xdr:colOff>0</xdr:colOff>
      <xdr:row>0</xdr:row>
      <xdr:rowOff>0</xdr:rowOff>
    </xdr:from>
    <xdr:to>
      <xdr:col>2</xdr:col>
      <xdr:colOff>129540</xdr:colOff>
      <xdr:row>7</xdr:row>
      <xdr:rowOff>142240</xdr:rowOff>
    </xdr:to>
    <xdr:pic>
      <xdr:nvPicPr>
        <xdr:cNvPr id="90" name="ID_9704A92A30C84B729835535B92E2A4EB" descr="upload_post_object_v2_867098261"/>
        <xdr:cNvPicPr/>
      </xdr:nvPicPr>
      <xdr:blipFill>
        <a:blip r:embed="rId25"/>
        <a:stretch>
          <a:fillRect/>
        </a:stretch>
      </xdr:blipFill>
      <xdr:spPr>
        <a:xfrm>
          <a:off x="0" y="0"/>
          <a:ext cx="1386840" cy="1386840"/>
        </a:xfrm>
        <a:prstGeom prst="rect">
          <a:avLst/>
        </a:prstGeom>
      </xdr:spPr>
    </xdr:pic>
    <xdr:clientData/>
  </xdr:twoCellAnchor>
  <xdr:twoCellAnchor editAs="oneCell">
    <xdr:from>
      <xdr:col>0</xdr:col>
      <xdr:colOff>0</xdr:colOff>
      <xdr:row>0</xdr:row>
      <xdr:rowOff>0</xdr:rowOff>
    </xdr:from>
    <xdr:to>
      <xdr:col>1</xdr:col>
      <xdr:colOff>560070</xdr:colOff>
      <xdr:row>3</xdr:row>
      <xdr:rowOff>60960</xdr:rowOff>
    </xdr:to>
    <xdr:pic>
      <xdr:nvPicPr>
        <xdr:cNvPr id="92" name="ID_284C1B149DE94A93989C2281C5FA45FD" descr="upload_post_object_v2_4032071847"/>
        <xdr:cNvPicPr/>
      </xdr:nvPicPr>
      <xdr:blipFill>
        <a:blip r:embed="rId39"/>
        <a:stretch>
          <a:fillRect/>
        </a:stretch>
      </xdr:blipFill>
      <xdr:spPr>
        <a:xfrm>
          <a:off x="0" y="0"/>
          <a:ext cx="1188720" cy="594360"/>
        </a:xfrm>
        <a:prstGeom prst="rect">
          <a:avLst/>
        </a:prstGeom>
      </xdr:spPr>
    </xdr:pic>
    <xdr:clientData/>
  </xdr:twoCellAnchor>
  <xdr:twoCellAnchor editAs="oneCell">
    <xdr:from>
      <xdr:col>0</xdr:col>
      <xdr:colOff>0</xdr:colOff>
      <xdr:row>0</xdr:row>
      <xdr:rowOff>0</xdr:rowOff>
    </xdr:from>
    <xdr:to>
      <xdr:col>0</xdr:col>
      <xdr:colOff>594360</xdr:colOff>
      <xdr:row>5</xdr:row>
      <xdr:rowOff>101600</xdr:rowOff>
    </xdr:to>
    <xdr:pic>
      <xdr:nvPicPr>
        <xdr:cNvPr id="94" name="ID_A7B09E412A8D4F3AA443B6DD0FFE9986" descr="upload_post_object_v2_3232628948"/>
        <xdr:cNvPicPr/>
      </xdr:nvPicPr>
      <xdr:blipFill>
        <a:blip r:embed="rId40"/>
        <a:stretch>
          <a:fillRect/>
        </a:stretch>
      </xdr:blipFill>
      <xdr:spPr>
        <a:xfrm>
          <a:off x="0" y="0"/>
          <a:ext cx="594360" cy="990600"/>
        </a:xfrm>
        <a:prstGeom prst="rect">
          <a:avLst/>
        </a:prstGeom>
      </xdr:spPr>
    </xdr:pic>
    <xdr:clientData/>
  </xdr:twoCellAnchor>
  <xdr:twoCellAnchor editAs="oneCell">
    <xdr:from>
      <xdr:col>0</xdr:col>
      <xdr:colOff>0</xdr:colOff>
      <xdr:row>0</xdr:row>
      <xdr:rowOff>0</xdr:rowOff>
    </xdr:from>
    <xdr:to>
      <xdr:col>1</xdr:col>
      <xdr:colOff>361950</xdr:colOff>
      <xdr:row>1</xdr:row>
      <xdr:rowOff>20320</xdr:rowOff>
    </xdr:to>
    <xdr:pic>
      <xdr:nvPicPr>
        <xdr:cNvPr id="91" name="ID_4FD3C9423D214817A8B8D9C7D8ECB3ED" descr="upload_post_object_v2_3297848780"/>
        <xdr:cNvPicPr/>
      </xdr:nvPicPr>
      <xdr:blipFill>
        <a:blip r:embed="rId41"/>
        <a:stretch>
          <a:fillRect/>
        </a:stretch>
      </xdr:blipFill>
      <xdr:spPr>
        <a:xfrm>
          <a:off x="0" y="0"/>
          <a:ext cx="990600" cy="198120"/>
        </a:xfrm>
        <a:prstGeom prst="rect">
          <a:avLst/>
        </a:prstGeom>
      </xdr:spPr>
    </xdr:pic>
    <xdr:clientData/>
  </xdr:twoCellAnchor>
  <xdr:twoCellAnchor editAs="oneCell">
    <xdr:from>
      <xdr:col>0</xdr:col>
      <xdr:colOff>0</xdr:colOff>
      <xdr:row>0</xdr:row>
      <xdr:rowOff>0</xdr:rowOff>
    </xdr:from>
    <xdr:to>
      <xdr:col>1</xdr:col>
      <xdr:colOff>163830</xdr:colOff>
      <xdr:row>1</xdr:row>
      <xdr:rowOff>20320</xdr:rowOff>
    </xdr:to>
    <xdr:pic>
      <xdr:nvPicPr>
        <xdr:cNvPr id="93" name="ID_D169DEFBE5134767AD7E40349F61D876" descr="upload_post_object_v2_822107244"/>
        <xdr:cNvPicPr/>
      </xdr:nvPicPr>
      <xdr:blipFill>
        <a:blip r:embed="rId10" r:link="rId7"/>
        <a:stretch>
          <a:fillRect/>
        </a:stretch>
      </xdr:blipFill>
      <xdr:spPr>
        <a:xfrm>
          <a:off x="0" y="0"/>
          <a:ext cx="792480" cy="198120"/>
        </a:xfrm>
        <a:prstGeom prst="rect">
          <a:avLst/>
        </a:prstGeom>
      </xdr:spPr>
    </xdr:pic>
    <xdr:clientData/>
  </xdr:twoCellAnchor>
  <xdr:twoCellAnchor editAs="oneCell">
    <xdr:from>
      <xdr:col>0</xdr:col>
      <xdr:colOff>0</xdr:colOff>
      <xdr:row>0</xdr:row>
      <xdr:rowOff>0</xdr:rowOff>
    </xdr:from>
    <xdr:to>
      <xdr:col>0</xdr:col>
      <xdr:colOff>396240</xdr:colOff>
      <xdr:row>3</xdr:row>
      <xdr:rowOff>60960</xdr:rowOff>
    </xdr:to>
    <xdr:pic>
      <xdr:nvPicPr>
        <xdr:cNvPr id="95" name="ID_6A9F183EC8474DDA8BC98EAAA4BF5135" descr="upload_post_object_v2_4016511087"/>
        <xdr:cNvPicPr/>
      </xdr:nvPicPr>
      <xdr:blipFill>
        <a:blip r:embed="rId19"/>
        <a:stretch>
          <a:fillRect/>
        </a:stretch>
      </xdr:blipFill>
      <xdr:spPr>
        <a:xfrm>
          <a:off x="0" y="0"/>
          <a:ext cx="396240" cy="594360"/>
        </a:xfrm>
        <a:prstGeom prst="rect">
          <a:avLst/>
        </a:prstGeom>
      </xdr:spPr>
    </xdr:pic>
    <xdr:clientData/>
  </xdr:twoCellAnchor>
  <xdr:twoCellAnchor editAs="oneCell">
    <xdr:from>
      <xdr:col>0</xdr:col>
      <xdr:colOff>0</xdr:colOff>
      <xdr:row>0</xdr:row>
      <xdr:rowOff>0</xdr:rowOff>
    </xdr:from>
    <xdr:to>
      <xdr:col>0</xdr:col>
      <xdr:colOff>594360</xdr:colOff>
      <xdr:row>1</xdr:row>
      <xdr:rowOff>20320</xdr:rowOff>
    </xdr:to>
    <xdr:pic>
      <xdr:nvPicPr>
        <xdr:cNvPr id="96" name="ID_BA58218353E74F7DAC0502083F309392" descr="upload_post_object_v2_4141998896"/>
        <xdr:cNvPicPr/>
      </xdr:nvPicPr>
      <xdr:blipFill>
        <a:blip r:embed="rId42"/>
        <a:stretch>
          <a:fillRect/>
        </a:stretch>
      </xdr:blipFill>
      <xdr:spPr>
        <a:xfrm>
          <a:off x="0" y="0"/>
          <a:ext cx="594360" cy="198120"/>
        </a:xfrm>
        <a:prstGeom prst="rect">
          <a:avLst/>
        </a:prstGeom>
      </xdr:spPr>
    </xdr:pic>
    <xdr:clientData/>
  </xdr:twoCellAnchor>
  <xdr:twoCellAnchor editAs="oneCell">
    <xdr:from>
      <xdr:col>0</xdr:col>
      <xdr:colOff>0</xdr:colOff>
      <xdr:row>0</xdr:row>
      <xdr:rowOff>0</xdr:rowOff>
    </xdr:from>
    <xdr:to>
      <xdr:col>0</xdr:col>
      <xdr:colOff>396240</xdr:colOff>
      <xdr:row>1</xdr:row>
      <xdr:rowOff>20320</xdr:rowOff>
    </xdr:to>
    <xdr:pic>
      <xdr:nvPicPr>
        <xdr:cNvPr id="98" name="ID_06FAE83C0AD241758D90AB199AA493DB" descr="upload_post_object_v2_1750045753"/>
        <xdr:cNvPicPr/>
      </xdr:nvPicPr>
      <xdr:blipFill>
        <a:blip r:embed="rId11"/>
        <a:stretch>
          <a:fillRect/>
        </a:stretch>
      </xdr:blipFill>
      <xdr:spPr>
        <a:xfrm>
          <a:off x="0" y="0"/>
          <a:ext cx="396240" cy="198120"/>
        </a:xfrm>
        <a:prstGeom prst="rect">
          <a:avLst/>
        </a:prstGeom>
      </xdr:spPr>
    </xdr:pic>
    <xdr:clientData/>
  </xdr:twoCellAnchor>
  <xdr:twoCellAnchor editAs="oneCell">
    <xdr:from>
      <xdr:col>0</xdr:col>
      <xdr:colOff>0</xdr:colOff>
      <xdr:row>0</xdr:row>
      <xdr:rowOff>0</xdr:rowOff>
    </xdr:from>
    <xdr:to>
      <xdr:col>0</xdr:col>
      <xdr:colOff>594360</xdr:colOff>
      <xdr:row>3</xdr:row>
      <xdr:rowOff>60960</xdr:rowOff>
    </xdr:to>
    <xdr:pic>
      <xdr:nvPicPr>
        <xdr:cNvPr id="99" name="ID_047325DC0A3E4F3EB849B53E4C513046" descr="upload_post_object_v2_241606980"/>
        <xdr:cNvPicPr/>
      </xdr:nvPicPr>
      <xdr:blipFill>
        <a:blip r:embed="rId4"/>
        <a:stretch>
          <a:fillRect/>
        </a:stretch>
      </xdr:blipFill>
      <xdr:spPr>
        <a:xfrm>
          <a:off x="0" y="0"/>
          <a:ext cx="594360" cy="594360"/>
        </a:xfrm>
        <a:prstGeom prst="rect">
          <a:avLst/>
        </a:prstGeom>
      </xdr:spPr>
    </xdr:pic>
    <xdr:clientData/>
  </xdr:twoCellAnchor>
  <xdr:twoCellAnchor editAs="oneCell">
    <xdr:from>
      <xdr:col>0</xdr:col>
      <xdr:colOff>0</xdr:colOff>
      <xdr:row>0</xdr:row>
      <xdr:rowOff>0</xdr:rowOff>
    </xdr:from>
    <xdr:to>
      <xdr:col>0</xdr:col>
      <xdr:colOff>594360</xdr:colOff>
      <xdr:row>3</xdr:row>
      <xdr:rowOff>60960</xdr:rowOff>
    </xdr:to>
    <xdr:pic>
      <xdr:nvPicPr>
        <xdr:cNvPr id="100" name="ID_8BC8464479CD4B10B008A050363D9845" descr="upload_post_object_v2_288303457"/>
        <xdr:cNvPicPr/>
      </xdr:nvPicPr>
      <xdr:blipFill>
        <a:blip r:embed="rId43"/>
        <a:stretch>
          <a:fillRect/>
        </a:stretch>
      </xdr:blipFill>
      <xdr:spPr>
        <a:xfrm>
          <a:off x="0" y="0"/>
          <a:ext cx="594360" cy="594360"/>
        </a:xfrm>
        <a:prstGeom prst="rect">
          <a:avLst/>
        </a:prstGeom>
      </xdr:spPr>
    </xdr:pic>
    <xdr:clientData/>
  </xdr:twoCellAnchor>
  <xdr:twoCellAnchor editAs="oneCell">
    <xdr:from>
      <xdr:col>0</xdr:col>
      <xdr:colOff>0</xdr:colOff>
      <xdr:row>0</xdr:row>
      <xdr:rowOff>0</xdr:rowOff>
    </xdr:from>
    <xdr:to>
      <xdr:col>0</xdr:col>
      <xdr:colOff>396240</xdr:colOff>
      <xdr:row>1</xdr:row>
      <xdr:rowOff>20320</xdr:rowOff>
    </xdr:to>
    <xdr:pic>
      <xdr:nvPicPr>
        <xdr:cNvPr id="71" name="ID_207D8C9A93CB4A2DB79141727A5AD7E6" descr="upload_post_object_v2_550784489"/>
        <xdr:cNvPicPr/>
      </xdr:nvPicPr>
      <xdr:blipFill>
        <a:blip r:embed="rId11"/>
        <a:stretch>
          <a:fillRect/>
        </a:stretch>
      </xdr:blipFill>
      <xdr:spPr>
        <a:xfrm>
          <a:off x="0" y="0"/>
          <a:ext cx="396240" cy="198120"/>
        </a:xfrm>
        <a:prstGeom prst="rect">
          <a:avLst/>
        </a:prstGeom>
      </xdr:spPr>
    </xdr:pic>
    <xdr:clientData/>
  </xdr:twoCellAnchor>
  <xdr:twoCellAnchor editAs="oneCell">
    <xdr:from>
      <xdr:col>0</xdr:col>
      <xdr:colOff>0</xdr:colOff>
      <xdr:row>0</xdr:row>
      <xdr:rowOff>0</xdr:rowOff>
    </xdr:from>
    <xdr:to>
      <xdr:col>1</xdr:col>
      <xdr:colOff>361950</xdr:colOff>
      <xdr:row>5</xdr:row>
      <xdr:rowOff>101600</xdr:rowOff>
    </xdr:to>
    <xdr:pic>
      <xdr:nvPicPr>
        <xdr:cNvPr id="101" name="ID_C0EBE7662F85411690D10D087CB847FF" descr="upload_post_object_v2_1342546146"/>
        <xdr:cNvPicPr/>
      </xdr:nvPicPr>
      <xdr:blipFill>
        <a:blip r:embed="rId28"/>
        <a:stretch>
          <a:fillRect/>
        </a:stretch>
      </xdr:blipFill>
      <xdr:spPr>
        <a:xfrm>
          <a:off x="0" y="0"/>
          <a:ext cx="990600" cy="990600"/>
        </a:xfrm>
        <a:prstGeom prst="rect">
          <a:avLst/>
        </a:prstGeom>
      </xdr:spPr>
    </xdr:pic>
    <xdr:clientData/>
  </xdr:twoCellAnchor>
  <xdr:twoCellAnchor editAs="oneCell">
    <xdr:from>
      <xdr:col>0</xdr:col>
      <xdr:colOff>0</xdr:colOff>
      <xdr:row>0</xdr:row>
      <xdr:rowOff>0</xdr:rowOff>
    </xdr:from>
    <xdr:to>
      <xdr:col>1</xdr:col>
      <xdr:colOff>361950</xdr:colOff>
      <xdr:row>1</xdr:row>
      <xdr:rowOff>20320</xdr:rowOff>
    </xdr:to>
    <xdr:pic>
      <xdr:nvPicPr>
        <xdr:cNvPr id="102" name="ID_A44094FD27CB4749AB4C5CCF7AC577A9" descr="upload_post_object_v2_1527288097"/>
        <xdr:cNvPicPr/>
      </xdr:nvPicPr>
      <xdr:blipFill>
        <a:blip r:embed="rId41"/>
        <a:stretch>
          <a:fillRect/>
        </a:stretch>
      </xdr:blipFill>
      <xdr:spPr>
        <a:xfrm>
          <a:off x="0" y="0"/>
          <a:ext cx="990600" cy="198120"/>
        </a:xfrm>
        <a:prstGeom prst="rect">
          <a:avLst/>
        </a:prstGeom>
      </xdr:spPr>
    </xdr:pic>
    <xdr:clientData/>
  </xdr:twoCellAnchor>
  <xdr:twoCellAnchor editAs="oneCell">
    <xdr:from>
      <xdr:col>0</xdr:col>
      <xdr:colOff>0</xdr:colOff>
      <xdr:row>0</xdr:row>
      <xdr:rowOff>0</xdr:rowOff>
    </xdr:from>
    <xdr:to>
      <xdr:col>1</xdr:col>
      <xdr:colOff>361950</xdr:colOff>
      <xdr:row>5</xdr:row>
      <xdr:rowOff>101600</xdr:rowOff>
    </xdr:to>
    <xdr:pic>
      <xdr:nvPicPr>
        <xdr:cNvPr id="103" name="ID_324AF5E1317449D68C4E7F15E04A1C5B" descr="upload_post_object_v2_1343086132"/>
        <xdr:cNvPicPr/>
      </xdr:nvPicPr>
      <xdr:blipFill>
        <a:blip r:embed="rId3"/>
        <a:stretch>
          <a:fillRect/>
        </a:stretch>
      </xdr:blipFill>
      <xdr:spPr>
        <a:xfrm>
          <a:off x="0" y="0"/>
          <a:ext cx="990600" cy="990600"/>
        </a:xfrm>
        <a:prstGeom prst="rect">
          <a:avLst/>
        </a:prstGeom>
      </xdr:spPr>
    </xdr:pic>
    <xdr:clientData/>
  </xdr:twoCellAnchor>
  <xdr:twoCellAnchor editAs="oneCell">
    <xdr:from>
      <xdr:col>0</xdr:col>
      <xdr:colOff>0</xdr:colOff>
      <xdr:row>0</xdr:row>
      <xdr:rowOff>0</xdr:rowOff>
    </xdr:from>
    <xdr:to>
      <xdr:col>0</xdr:col>
      <xdr:colOff>251460</xdr:colOff>
      <xdr:row>2</xdr:row>
      <xdr:rowOff>63500</xdr:rowOff>
    </xdr:to>
    <xdr:pic>
      <xdr:nvPicPr>
        <xdr:cNvPr id="105" name="ID_7E26653402B64D76AC771E9392B5B49A" descr="upload_post_object_v2_3596788361"/>
        <xdr:cNvPicPr/>
      </xdr:nvPicPr>
      <xdr:blipFill>
        <a:blip r:embed="rId44"/>
        <a:stretch>
          <a:fillRect/>
        </a:stretch>
      </xdr:blipFill>
      <xdr:spPr>
        <a:xfrm>
          <a:off x="0" y="0"/>
          <a:ext cx="251460" cy="419100"/>
        </a:xfrm>
        <a:prstGeom prst="rect">
          <a:avLst/>
        </a:prstGeom>
      </xdr:spPr>
    </xdr:pic>
    <xdr:clientData/>
  </xdr:twoCellAnchor>
  <xdr:twoCellAnchor editAs="oneCell">
    <xdr:from>
      <xdr:col>0</xdr:col>
      <xdr:colOff>0</xdr:colOff>
      <xdr:row>0</xdr:row>
      <xdr:rowOff>0</xdr:rowOff>
    </xdr:from>
    <xdr:to>
      <xdr:col>1</xdr:col>
      <xdr:colOff>346710</xdr:colOff>
      <xdr:row>5</xdr:row>
      <xdr:rowOff>86360</xdr:rowOff>
    </xdr:to>
    <xdr:pic>
      <xdr:nvPicPr>
        <xdr:cNvPr id="104" name="ID_38C1CA259B3E4194A01F00D33E6D83C1" descr="upload_post_object_v2_2869454923"/>
        <xdr:cNvPicPr/>
      </xdr:nvPicPr>
      <xdr:blipFill>
        <a:blip r:embed="rId45"/>
        <a:stretch>
          <a:fillRect/>
        </a:stretch>
      </xdr:blipFill>
      <xdr:spPr>
        <a:xfrm>
          <a:off x="0" y="0"/>
          <a:ext cx="975360" cy="975360"/>
        </a:xfrm>
        <a:prstGeom prst="rect">
          <a:avLst/>
        </a:prstGeom>
      </xdr:spPr>
    </xdr:pic>
    <xdr:clientData/>
  </xdr:twoCellAnchor>
  <xdr:twoCellAnchor editAs="oneCell">
    <xdr:from>
      <xdr:col>0</xdr:col>
      <xdr:colOff>0</xdr:colOff>
      <xdr:row>0</xdr:row>
      <xdr:rowOff>0</xdr:rowOff>
    </xdr:from>
    <xdr:to>
      <xdr:col>1</xdr:col>
      <xdr:colOff>361950</xdr:colOff>
      <xdr:row>5</xdr:row>
      <xdr:rowOff>101600</xdr:rowOff>
    </xdr:to>
    <xdr:pic>
      <xdr:nvPicPr>
        <xdr:cNvPr id="38" name="ID_1BF0C97380BF473693822C43096A8FDA" descr="upload_post_object_v2_126587197"/>
        <xdr:cNvPicPr/>
      </xdr:nvPicPr>
      <xdr:blipFill>
        <a:blip r:embed="rId28"/>
        <a:stretch>
          <a:fillRect/>
        </a:stretch>
      </xdr:blipFill>
      <xdr:spPr>
        <a:xfrm>
          <a:off x="0" y="0"/>
          <a:ext cx="990600" cy="990600"/>
        </a:xfrm>
        <a:prstGeom prst="rect">
          <a:avLst/>
        </a:prstGeom>
      </xdr:spPr>
    </xdr:pic>
    <xdr:clientData/>
  </xdr:twoCellAnchor>
  <xdr:twoCellAnchor editAs="oneCell">
    <xdr:from>
      <xdr:col>0</xdr:col>
      <xdr:colOff>0</xdr:colOff>
      <xdr:row>0</xdr:row>
      <xdr:rowOff>0</xdr:rowOff>
    </xdr:from>
    <xdr:to>
      <xdr:col>0</xdr:col>
      <xdr:colOff>502920</xdr:colOff>
      <xdr:row>2</xdr:row>
      <xdr:rowOff>154940</xdr:rowOff>
    </xdr:to>
    <xdr:pic>
      <xdr:nvPicPr>
        <xdr:cNvPr id="106" name="ID_B7348782B6964750A92A46CA70681D16" descr="upload_post_object_v2_2020964230"/>
        <xdr:cNvPicPr/>
      </xdr:nvPicPr>
      <xdr:blipFill>
        <a:blip r:embed="rId46"/>
        <a:stretch>
          <a:fillRect/>
        </a:stretch>
      </xdr:blipFill>
      <xdr:spPr>
        <a:xfrm>
          <a:off x="0" y="0"/>
          <a:ext cx="502920" cy="510540"/>
        </a:xfrm>
        <a:prstGeom prst="rect">
          <a:avLst/>
        </a:prstGeom>
      </xdr:spPr>
    </xdr:pic>
    <xdr:clientData/>
  </xdr:twoCellAnchor>
  <xdr:twoCellAnchor editAs="oneCell">
    <xdr:from>
      <xdr:col>0</xdr:col>
      <xdr:colOff>0</xdr:colOff>
      <xdr:row>0</xdr:row>
      <xdr:rowOff>0</xdr:rowOff>
    </xdr:from>
    <xdr:to>
      <xdr:col>1</xdr:col>
      <xdr:colOff>95250</xdr:colOff>
      <xdr:row>3</xdr:row>
      <xdr:rowOff>6350</xdr:rowOff>
    </xdr:to>
    <xdr:pic>
      <xdr:nvPicPr>
        <xdr:cNvPr id="25" name="ID_9786474967E94C57B1093B255C807353" descr="post_object_image_941878803"/>
        <xdr:cNvPicPr/>
      </xdr:nvPicPr>
      <xdr:blipFill>
        <a:blip r:embed="rId47"/>
        <a:stretch>
          <a:fillRect/>
        </a:stretch>
      </xdr:blipFill>
      <xdr:spPr>
        <a:xfrm>
          <a:off x="0" y="0"/>
          <a:ext cx="723900" cy="539750"/>
        </a:xfrm>
        <a:prstGeom prst="rect">
          <a:avLst/>
        </a:prstGeom>
      </xdr:spPr>
    </xdr:pic>
    <xdr:clientData/>
  </xdr:twoCellAnchor>
  <xdr:twoCellAnchor editAs="oneCell">
    <xdr:from>
      <xdr:col>0</xdr:col>
      <xdr:colOff>0</xdr:colOff>
      <xdr:row>0</xdr:row>
      <xdr:rowOff>0</xdr:rowOff>
    </xdr:from>
    <xdr:to>
      <xdr:col>1</xdr:col>
      <xdr:colOff>101600</xdr:colOff>
      <xdr:row>4</xdr:row>
      <xdr:rowOff>19050</xdr:rowOff>
    </xdr:to>
    <xdr:pic>
      <xdr:nvPicPr>
        <xdr:cNvPr id="45" name="ID_DDB8380B767642F281E1071C715C023C" descr="post_object_image_1072205974"/>
        <xdr:cNvPicPr/>
      </xdr:nvPicPr>
      <xdr:blipFill>
        <a:blip r:embed="rId48"/>
        <a:stretch>
          <a:fillRect/>
        </a:stretch>
      </xdr:blipFill>
      <xdr:spPr>
        <a:xfrm>
          <a:off x="0" y="0"/>
          <a:ext cx="730250" cy="730250"/>
        </a:xfrm>
        <a:prstGeom prst="rect">
          <a:avLst/>
        </a:prstGeom>
      </xdr:spPr>
    </xdr:pic>
    <xdr:clientData/>
  </xdr:twoCellAnchor>
  <xdr:twoCellAnchor editAs="oneCell">
    <xdr:from>
      <xdr:col>0</xdr:col>
      <xdr:colOff>0</xdr:colOff>
      <xdr:row>0</xdr:row>
      <xdr:rowOff>0</xdr:rowOff>
    </xdr:from>
    <xdr:to>
      <xdr:col>0</xdr:col>
      <xdr:colOff>546100</xdr:colOff>
      <xdr:row>2</xdr:row>
      <xdr:rowOff>171450</xdr:rowOff>
    </xdr:to>
    <xdr:pic>
      <xdr:nvPicPr>
        <xdr:cNvPr id="47" name="ID_E39D200512934CD8BEC1F6DEA8CD1869" descr="post_object_image_1547302513"/>
        <xdr:cNvPicPr/>
      </xdr:nvPicPr>
      <xdr:blipFill>
        <a:blip r:embed="rId49"/>
        <a:stretch>
          <a:fillRect/>
        </a:stretch>
      </xdr:blipFill>
      <xdr:spPr>
        <a:xfrm>
          <a:off x="0" y="0"/>
          <a:ext cx="546100" cy="527050"/>
        </a:xfrm>
        <a:prstGeom prst="rect">
          <a:avLst/>
        </a:prstGeom>
      </xdr:spPr>
    </xdr:pic>
    <xdr:clientData/>
  </xdr:twoCellAnchor>
  <xdr:twoCellAnchor editAs="oneCell">
    <xdr:from>
      <xdr:col>0</xdr:col>
      <xdr:colOff>0</xdr:colOff>
      <xdr:row>0</xdr:row>
      <xdr:rowOff>0</xdr:rowOff>
    </xdr:from>
    <xdr:to>
      <xdr:col>1</xdr:col>
      <xdr:colOff>552450</xdr:colOff>
      <xdr:row>6</xdr:row>
      <xdr:rowOff>95250</xdr:rowOff>
    </xdr:to>
    <xdr:pic>
      <xdr:nvPicPr>
        <xdr:cNvPr id="49" name="ID_89DD0FA4551446DFBDB3D230393AAFC8" descr="post_object_image_2516450850"/>
        <xdr:cNvPicPr/>
      </xdr:nvPicPr>
      <xdr:blipFill>
        <a:blip r:embed="rId50"/>
        <a:stretch>
          <a:fillRect/>
        </a:stretch>
      </xdr:blipFill>
      <xdr:spPr>
        <a:xfrm>
          <a:off x="0" y="0"/>
          <a:ext cx="1181100" cy="1162050"/>
        </a:xfrm>
        <a:prstGeom prst="rect">
          <a:avLst/>
        </a:prstGeom>
      </xdr:spPr>
    </xdr:pic>
    <xdr:clientData/>
  </xdr:twoCellAnchor>
  <xdr:twoCellAnchor editAs="oneCell">
    <xdr:from>
      <xdr:col>0</xdr:col>
      <xdr:colOff>0</xdr:colOff>
      <xdr:row>0</xdr:row>
      <xdr:rowOff>0</xdr:rowOff>
    </xdr:from>
    <xdr:to>
      <xdr:col>2</xdr:col>
      <xdr:colOff>228600</xdr:colOff>
      <xdr:row>4</xdr:row>
      <xdr:rowOff>31750</xdr:rowOff>
    </xdr:to>
    <xdr:pic>
      <xdr:nvPicPr>
        <xdr:cNvPr id="50" name="ID_DA07042A3DC548E098BD7D353F325826" descr="post_object_image_1510235839"/>
        <xdr:cNvPicPr/>
      </xdr:nvPicPr>
      <xdr:blipFill>
        <a:blip r:embed="rId51"/>
        <a:stretch>
          <a:fillRect/>
        </a:stretch>
      </xdr:blipFill>
      <xdr:spPr>
        <a:xfrm>
          <a:off x="0" y="0"/>
          <a:ext cx="1485900" cy="742950"/>
        </a:xfrm>
        <a:prstGeom prst="rect">
          <a:avLst/>
        </a:prstGeom>
      </xdr:spPr>
    </xdr:pic>
    <xdr:clientData/>
  </xdr:twoCellAnchor>
  <xdr:twoCellAnchor editAs="oneCell">
    <xdr:from>
      <xdr:col>0</xdr:col>
      <xdr:colOff>0</xdr:colOff>
      <xdr:row>0</xdr:row>
      <xdr:rowOff>0</xdr:rowOff>
    </xdr:from>
    <xdr:to>
      <xdr:col>0</xdr:col>
      <xdr:colOff>609600</xdr:colOff>
      <xdr:row>3</xdr:row>
      <xdr:rowOff>76200</xdr:rowOff>
    </xdr:to>
    <xdr:pic>
      <xdr:nvPicPr>
        <xdr:cNvPr id="51" name="ID_265424E762614271A0DCE5079B3E24EA" descr="post_object_image_4205861234"/>
        <xdr:cNvPicPr/>
      </xdr:nvPicPr>
      <xdr:blipFill>
        <a:blip r:embed="rId52"/>
        <a:stretch>
          <a:fillRect/>
        </a:stretch>
      </xdr:blipFill>
      <xdr:spPr>
        <a:xfrm>
          <a:off x="0" y="0"/>
          <a:ext cx="609600" cy="609600"/>
        </a:xfrm>
        <a:prstGeom prst="rect">
          <a:avLst/>
        </a:prstGeom>
      </xdr:spPr>
    </xdr:pic>
    <xdr:clientData/>
  </xdr:twoCellAnchor>
  <xdr:twoCellAnchor editAs="oneCell">
    <xdr:from>
      <xdr:col>0</xdr:col>
      <xdr:colOff>0</xdr:colOff>
      <xdr:row>0</xdr:row>
      <xdr:rowOff>0</xdr:rowOff>
    </xdr:from>
    <xdr:to>
      <xdr:col>0</xdr:col>
      <xdr:colOff>609600</xdr:colOff>
      <xdr:row>1</xdr:row>
      <xdr:rowOff>158750</xdr:rowOff>
    </xdr:to>
    <xdr:pic>
      <xdr:nvPicPr>
        <xdr:cNvPr id="52" name="ID_8197F082FB2C4992900143D5B7F1E282" descr="post_object_image_3346232781"/>
        <xdr:cNvPicPr/>
      </xdr:nvPicPr>
      <xdr:blipFill>
        <a:blip r:embed="rId53"/>
        <a:stretch>
          <a:fillRect/>
        </a:stretch>
      </xdr:blipFill>
      <xdr:spPr>
        <a:xfrm>
          <a:off x="0" y="0"/>
          <a:ext cx="609600" cy="336550"/>
        </a:xfrm>
        <a:prstGeom prst="rect">
          <a:avLst/>
        </a:prstGeom>
      </xdr:spPr>
    </xdr:pic>
    <xdr:clientData/>
  </xdr:twoCellAnchor>
  <xdr:twoCellAnchor editAs="oneCell">
    <xdr:from>
      <xdr:col>0</xdr:col>
      <xdr:colOff>0</xdr:colOff>
      <xdr:row>0</xdr:row>
      <xdr:rowOff>0</xdr:rowOff>
    </xdr:from>
    <xdr:to>
      <xdr:col>1</xdr:col>
      <xdr:colOff>361950</xdr:colOff>
      <xdr:row>4</xdr:row>
      <xdr:rowOff>31750</xdr:rowOff>
    </xdr:to>
    <xdr:pic>
      <xdr:nvPicPr>
        <xdr:cNvPr id="55" name="ID_48C5E21878D9484598794F0994FDC453" descr="post_object_image_285645182"/>
        <xdr:cNvPicPr/>
      </xdr:nvPicPr>
      <xdr:blipFill>
        <a:blip r:embed="rId54"/>
        <a:stretch>
          <a:fillRect/>
        </a:stretch>
      </xdr:blipFill>
      <xdr:spPr>
        <a:xfrm>
          <a:off x="0" y="0"/>
          <a:ext cx="990600" cy="74295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25"/>
  </sheetPr>
  <dimension ref="A1:AJ47"/>
  <sheetViews>
    <sheetView showGridLines="0" topLeftCell="N5" workbookViewId="0">
      <selection activeCell="AA15" sqref="AA15:AE15"/>
    </sheetView>
  </sheetViews>
  <sheetFormatPr defaultColWidth="8.89090909090909" defaultRowHeight="16.5"/>
  <cols>
    <col min="1" max="1" width="9.14545454545454" style="1" customWidth="1"/>
    <col min="2" max="4" width="8.89090909090909" style="1"/>
    <col min="5" max="5" width="9.83636363636364" style="1" customWidth="1"/>
    <col min="6" max="6" width="4.34545454545455" style="1" customWidth="1"/>
    <col min="7" max="7" width="5.71818181818182" style="1" customWidth="1"/>
    <col min="8" max="8" width="8.89090909090909" style="1"/>
    <col min="9" max="9" width="9.83636363636364" style="1" customWidth="1"/>
    <col min="10" max="10" width="6.97272727272727" style="1" customWidth="1"/>
    <col min="11" max="11" width="8.89090909090909" style="1"/>
    <col min="12" max="12" width="5.77272727272727" style="1" customWidth="1"/>
    <col min="13" max="14" width="8.77272727272727" style="1" customWidth="1"/>
    <col min="15" max="15" width="5.77272727272727" style="1" customWidth="1"/>
    <col min="16" max="16" width="16.8272727272727" style="1" customWidth="1"/>
    <col min="17" max="17" width="5.77272727272727" style="1" customWidth="1"/>
    <col min="18" max="19" width="8.77272727272727" style="1" customWidth="1"/>
    <col min="20" max="20" width="5.77272727272727" style="1" customWidth="1"/>
    <col min="21" max="21" width="14.7727272727273" style="1" customWidth="1"/>
    <col min="22" max="22" width="5.77272727272727" style="1" customWidth="1"/>
    <col min="23" max="24" width="8.77272727272727" style="1" customWidth="1"/>
    <col min="25" max="25" width="5.77272727272727" style="1" customWidth="1"/>
    <col min="26" max="26" width="14.7727272727273" style="1" customWidth="1"/>
    <col min="27" max="27" width="5.77272727272727" style="1" customWidth="1"/>
    <col min="28" max="29" width="8.77272727272727" style="1" customWidth="1"/>
    <col min="30" max="30" width="5.77272727272727" style="1" customWidth="1"/>
    <col min="31" max="31" width="14.7727272727273" style="1" customWidth="1"/>
    <col min="32" max="32" width="5.71818181818182" style="1" customWidth="1"/>
    <col min="33" max="16384" width="8.89090909090909" style="1"/>
  </cols>
  <sheetData>
    <row r="1" ht="61" customHeight="1" spans="1:31">
      <c r="A1" s="53" t="str">
        <f>_xlfn.DISPIMG("ID_9423E31730AF44A6886F6782D7D46033",1)</f>
        <v>=DISPIMG("ID_9423E31730AF44A6886F6782D7D46033",1)</v>
      </c>
      <c r="B1" s="54" t="s">
        <v>0</v>
      </c>
      <c r="C1" s="54"/>
      <c r="D1" s="55" t="s">
        <v>1</v>
      </c>
      <c r="E1" s="56"/>
      <c r="F1" s="5"/>
      <c r="L1" s="498" t="s">
        <v>2</v>
      </c>
      <c r="M1" s="307"/>
      <c r="N1" s="307"/>
      <c r="O1" s="307"/>
      <c r="P1" s="307"/>
      <c r="Q1" s="109"/>
      <c r="R1" s="5"/>
      <c r="S1" s="5"/>
      <c r="T1" s="5"/>
      <c r="U1" s="5"/>
      <c r="V1" s="109"/>
      <c r="W1" s="5"/>
      <c r="X1" s="5"/>
      <c r="Y1" s="5"/>
      <c r="Z1" s="5"/>
      <c r="AA1" s="109"/>
      <c r="AB1" s="5"/>
      <c r="AC1" s="5"/>
      <c r="AD1" s="5"/>
      <c r="AE1" s="5"/>
    </row>
    <row r="2" ht="12" customHeight="1" spans="1:31">
      <c r="A2" s="58"/>
      <c r="B2" s="58"/>
      <c r="C2" s="58"/>
      <c r="D2" s="58"/>
      <c r="E2" s="58"/>
      <c r="F2" s="59"/>
      <c r="L2" s="97"/>
      <c r="M2" s="59"/>
      <c r="N2" s="59"/>
      <c r="O2" s="59"/>
      <c r="P2" s="59"/>
      <c r="Q2" s="97"/>
      <c r="R2" s="59"/>
      <c r="S2" s="59"/>
      <c r="T2" s="59"/>
      <c r="U2" s="59"/>
      <c r="V2" s="97"/>
      <c r="W2" s="59"/>
      <c r="X2" s="59"/>
      <c r="Y2" s="59"/>
      <c r="Z2" s="59"/>
      <c r="AA2" s="97"/>
      <c r="AB2" s="59"/>
      <c r="AC2" s="59"/>
      <c r="AD2" s="59"/>
      <c r="AE2" s="59"/>
    </row>
    <row r="3" ht="15" customHeight="1" spans="1:36">
      <c r="A3" s="58"/>
      <c r="B3" s="58"/>
      <c r="C3" s="58"/>
      <c r="D3" s="58"/>
      <c r="E3" s="58"/>
      <c r="F3" s="60" t="s">
        <v>3</v>
      </c>
      <c r="G3" s="61" t="s">
        <v>4</v>
      </c>
      <c r="H3" s="61"/>
      <c r="I3" s="61"/>
      <c r="J3" s="61"/>
      <c r="K3" s="61"/>
      <c r="L3" s="106" t="s">
        <v>5</v>
      </c>
      <c r="M3" s="61"/>
      <c r="N3" s="61"/>
      <c r="O3" s="61"/>
      <c r="P3" s="61"/>
      <c r="Q3" s="106" t="s">
        <v>6</v>
      </c>
      <c r="R3" s="61"/>
      <c r="S3" s="61"/>
      <c r="T3" s="61"/>
      <c r="U3" s="61"/>
      <c r="V3" s="106" t="s">
        <v>7</v>
      </c>
      <c r="W3" s="61"/>
      <c r="X3" s="61"/>
      <c r="Y3" s="61"/>
      <c r="Z3" s="61"/>
      <c r="AA3" s="106" t="s">
        <v>8</v>
      </c>
      <c r="AB3" s="61"/>
      <c r="AC3" s="61"/>
      <c r="AD3" s="61"/>
      <c r="AE3" s="61"/>
      <c r="AF3" s="61" t="s">
        <v>9</v>
      </c>
      <c r="AG3" s="61"/>
      <c r="AH3" s="61"/>
      <c r="AI3" s="61"/>
      <c r="AJ3" s="115"/>
    </row>
    <row r="4" ht="48" customHeight="1" spans="1:36">
      <c r="A4" s="62" t="str">
        <f>_xlfn.DISPIMG("ID_792B067B6E5A4883B91DFB87C9EF9AF2",1)</f>
        <v>=DISPIMG("ID_792B067B6E5A4883B91DFB87C9EF9AF2",1)</v>
      </c>
      <c r="B4" s="62"/>
      <c r="C4" s="63" t="s">
        <v>10</v>
      </c>
      <c r="D4" s="64"/>
      <c r="E4" s="64"/>
      <c r="F4" s="65"/>
      <c r="G4" s="66" t="s">
        <v>11</v>
      </c>
      <c r="H4" s="74" t="s">
        <v>12</v>
      </c>
      <c r="I4" s="74"/>
      <c r="J4" s="74"/>
      <c r="K4" s="74"/>
      <c r="L4" s="66" t="s">
        <v>13</v>
      </c>
      <c r="M4" s="98">
        <v>1</v>
      </c>
      <c r="N4" s="99">
        <v>0</v>
      </c>
      <c r="O4" s="66" t="s">
        <v>14</v>
      </c>
      <c r="P4" s="100" t="s">
        <v>15</v>
      </c>
      <c r="Q4" s="66" t="s">
        <v>13</v>
      </c>
      <c r="R4" s="98">
        <v>0</v>
      </c>
      <c r="S4" s="99">
        <v>0</v>
      </c>
      <c r="T4" s="66" t="s">
        <v>14</v>
      </c>
      <c r="U4" s="100" t="s">
        <v>15</v>
      </c>
      <c r="V4" s="66" t="s">
        <v>13</v>
      </c>
      <c r="W4" s="98">
        <v>0</v>
      </c>
      <c r="X4" s="99">
        <v>1</v>
      </c>
      <c r="Y4" s="66" t="s">
        <v>14</v>
      </c>
      <c r="Z4" s="100" t="str">
        <f>_xlfn.DISPIMG("ID_20CC98ADBEC044A7B2FF7D1435B755A0",1)</f>
        <v>=DISPIMG("ID_20CC98ADBEC044A7B2FF7D1435B755A0",1)</v>
      </c>
      <c r="AA4" s="66" t="s">
        <v>13</v>
      </c>
      <c r="AB4" s="98">
        <v>1</v>
      </c>
      <c r="AC4" s="99">
        <v>0</v>
      </c>
      <c r="AD4" s="66" t="s">
        <v>14</v>
      </c>
      <c r="AE4" s="100" t="str">
        <f>_xlfn.DISPIMG("ID_83497D9D197843F1A9F58B9E776F6CA0",1)</f>
        <v>=DISPIMG("ID_83497D9D197843F1A9F58B9E776F6CA0",1)</v>
      </c>
      <c r="AF4" s="66" t="s">
        <v>16</v>
      </c>
      <c r="AG4" s="88" t="s">
        <v>17</v>
      </c>
      <c r="AH4" s="88"/>
      <c r="AI4" s="88"/>
      <c r="AJ4" s="210"/>
    </row>
    <row r="5" ht="48" customHeight="1" spans="1:36">
      <c r="A5" s="62"/>
      <c r="B5" s="62"/>
      <c r="C5" s="64"/>
      <c r="D5" s="64"/>
      <c r="E5" s="64"/>
      <c r="F5" s="65"/>
      <c r="G5" s="66" t="s">
        <v>18</v>
      </c>
      <c r="H5" s="127" t="s">
        <v>19</v>
      </c>
      <c r="I5" s="127"/>
      <c r="J5" s="127"/>
      <c r="K5" s="127"/>
      <c r="L5" s="66" t="s">
        <v>20</v>
      </c>
      <c r="M5" s="101">
        <v>3</v>
      </c>
      <c r="N5" s="102">
        <v>0</v>
      </c>
      <c r="O5" s="66" t="s">
        <v>21</v>
      </c>
      <c r="P5" s="100" t="s">
        <v>22</v>
      </c>
      <c r="Q5" s="66" t="s">
        <v>20</v>
      </c>
      <c r="R5" s="101">
        <v>1</v>
      </c>
      <c r="S5" s="102">
        <v>0</v>
      </c>
      <c r="T5" s="66" t="s">
        <v>21</v>
      </c>
      <c r="U5" s="100" t="s">
        <v>22</v>
      </c>
      <c r="V5" s="66" t="s">
        <v>20</v>
      </c>
      <c r="W5" s="101">
        <v>2</v>
      </c>
      <c r="X5" s="102">
        <v>0</v>
      </c>
      <c r="Y5" s="66" t="s">
        <v>21</v>
      </c>
      <c r="Z5" s="100" t="s">
        <v>23</v>
      </c>
      <c r="AA5" s="66" t="s">
        <v>20</v>
      </c>
      <c r="AB5" s="101">
        <v>6</v>
      </c>
      <c r="AC5" s="102">
        <v>1</v>
      </c>
      <c r="AD5" s="66" t="s">
        <v>21</v>
      </c>
      <c r="AE5" s="100" t="s">
        <v>23</v>
      </c>
      <c r="AF5" s="66" t="s">
        <v>24</v>
      </c>
      <c r="AG5" s="276" t="s">
        <v>25</v>
      </c>
      <c r="AH5" s="276"/>
      <c r="AI5" s="276"/>
      <c r="AJ5" s="277"/>
    </row>
    <row r="6" ht="70" customHeight="1" spans="1:36">
      <c r="A6" s="69" t="s">
        <v>26</v>
      </c>
      <c r="B6" s="70" t="s">
        <v>27</v>
      </c>
      <c r="C6" s="71"/>
      <c r="D6" s="71"/>
      <c r="E6" s="71"/>
      <c r="F6" s="65"/>
      <c r="G6" s="66"/>
      <c r="H6" s="127"/>
      <c r="I6" s="127"/>
      <c r="J6" s="127"/>
      <c r="K6" s="127"/>
      <c r="L6" s="66" t="s">
        <v>28</v>
      </c>
      <c r="M6" s="499" t="s">
        <v>29</v>
      </c>
      <c r="N6" s="500"/>
      <c r="O6" s="500"/>
      <c r="P6" s="500"/>
      <c r="Q6" s="66" t="s">
        <v>28</v>
      </c>
      <c r="R6" s="156" t="s">
        <v>30</v>
      </c>
      <c r="S6" s="156"/>
      <c r="T6" s="156"/>
      <c r="U6" s="156"/>
      <c r="V6" s="66" t="s">
        <v>28</v>
      </c>
      <c r="W6" s="107" t="s">
        <v>31</v>
      </c>
      <c r="X6" s="105"/>
      <c r="Y6" s="105"/>
      <c r="Z6" s="105"/>
      <c r="AA6" s="66" t="s">
        <v>28</v>
      </c>
      <c r="AB6" s="503" t="s">
        <v>32</v>
      </c>
      <c r="AC6" s="113"/>
      <c r="AD6" s="113"/>
      <c r="AE6" s="113"/>
      <c r="AF6" s="66"/>
      <c r="AG6" s="276"/>
      <c r="AH6" s="276"/>
      <c r="AI6" s="276"/>
      <c r="AJ6" s="277"/>
    </row>
    <row r="7" ht="15" customHeight="1" spans="1:36">
      <c r="A7" s="69" t="s">
        <v>33</v>
      </c>
      <c r="B7" s="70" t="s">
        <v>34</v>
      </c>
      <c r="C7" s="72"/>
      <c r="D7" s="72"/>
      <c r="E7" s="72"/>
      <c r="F7" s="65" t="s">
        <v>35</v>
      </c>
      <c r="G7" s="73" t="s">
        <v>36</v>
      </c>
      <c r="H7" s="73"/>
      <c r="I7" s="73"/>
      <c r="J7" s="73"/>
      <c r="K7" s="73"/>
      <c r="L7" s="106" t="s">
        <v>37</v>
      </c>
      <c r="M7" s="61"/>
      <c r="N7" s="61"/>
      <c r="O7" s="61"/>
      <c r="P7" s="61"/>
      <c r="Q7" s="106" t="s">
        <v>38</v>
      </c>
      <c r="R7" s="61"/>
      <c r="S7" s="61"/>
      <c r="T7" s="61"/>
      <c r="U7" s="61"/>
      <c r="V7" s="106" t="s">
        <v>39</v>
      </c>
      <c r="W7" s="61"/>
      <c r="X7" s="61"/>
      <c r="Y7" s="61"/>
      <c r="Z7" s="61"/>
      <c r="AA7" s="106" t="s">
        <v>40</v>
      </c>
      <c r="AB7" s="61"/>
      <c r="AC7" s="61"/>
      <c r="AD7" s="61"/>
      <c r="AE7" s="61"/>
      <c r="AF7" s="73" t="s">
        <v>41</v>
      </c>
      <c r="AG7" s="73"/>
      <c r="AH7" s="73"/>
      <c r="AI7" s="73"/>
      <c r="AJ7" s="120"/>
    </row>
    <row r="8" ht="48" customHeight="1" spans="1:36">
      <c r="A8" s="69"/>
      <c r="B8" s="72"/>
      <c r="C8" s="72"/>
      <c r="D8" s="72"/>
      <c r="E8" s="72"/>
      <c r="F8" s="65"/>
      <c r="G8" s="66" t="s">
        <v>11</v>
      </c>
      <c r="H8" s="116" t="s">
        <v>42</v>
      </c>
      <c r="I8" s="74"/>
      <c r="J8" s="74"/>
      <c r="K8" s="74"/>
      <c r="L8" s="66" t="s">
        <v>13</v>
      </c>
      <c r="M8" s="98">
        <v>1</v>
      </c>
      <c r="N8" s="99">
        <v>1</v>
      </c>
      <c r="O8" s="66" t="s">
        <v>14</v>
      </c>
      <c r="P8" s="100" t="s">
        <v>43</v>
      </c>
      <c r="Q8" s="66" t="s">
        <v>13</v>
      </c>
      <c r="R8" s="98">
        <v>0</v>
      </c>
      <c r="S8" s="99">
        <v>1</v>
      </c>
      <c r="T8" s="66" t="s">
        <v>14</v>
      </c>
      <c r="U8" s="100" t="s">
        <v>44</v>
      </c>
      <c r="V8" s="66" t="s">
        <v>13</v>
      </c>
      <c r="W8" s="98">
        <v>0</v>
      </c>
      <c r="X8" s="99">
        <v>1</v>
      </c>
      <c r="Y8" s="66" t="s">
        <v>14</v>
      </c>
      <c r="Z8" s="100" t="s">
        <v>45</v>
      </c>
      <c r="AA8" s="66" t="s">
        <v>13</v>
      </c>
      <c r="AB8" s="98">
        <v>1</v>
      </c>
      <c r="AC8" s="99">
        <v>0</v>
      </c>
      <c r="AD8" s="66" t="s">
        <v>14</v>
      </c>
      <c r="AE8" s="100" t="s">
        <v>44</v>
      </c>
      <c r="AF8" s="66" t="s">
        <v>16</v>
      </c>
      <c r="AG8" s="159" t="s">
        <v>46</v>
      </c>
      <c r="AH8" s="159"/>
      <c r="AI8" s="159"/>
      <c r="AJ8" s="160"/>
    </row>
    <row r="9" ht="48" customHeight="1" spans="1:36">
      <c r="A9" s="69"/>
      <c r="B9" s="72"/>
      <c r="C9" s="72"/>
      <c r="D9" s="72"/>
      <c r="E9" s="72"/>
      <c r="F9" s="65"/>
      <c r="G9" s="66" t="s">
        <v>18</v>
      </c>
      <c r="H9" s="118" t="s">
        <v>47</v>
      </c>
      <c r="I9" s="127"/>
      <c r="J9" s="127"/>
      <c r="K9" s="127"/>
      <c r="L9" s="66" t="s">
        <v>20</v>
      </c>
      <c r="M9" s="101">
        <v>0</v>
      </c>
      <c r="N9" s="102">
        <v>0</v>
      </c>
      <c r="O9" s="66" t="s">
        <v>21</v>
      </c>
      <c r="P9" s="100" t="s">
        <v>22</v>
      </c>
      <c r="Q9" s="66" t="s">
        <v>20</v>
      </c>
      <c r="R9" s="101">
        <v>3</v>
      </c>
      <c r="S9" s="102">
        <v>0</v>
      </c>
      <c r="T9" s="66" t="s">
        <v>21</v>
      </c>
      <c r="U9" s="100" t="s">
        <v>23</v>
      </c>
      <c r="V9" s="66" t="s">
        <v>20</v>
      </c>
      <c r="W9" s="101">
        <v>1</v>
      </c>
      <c r="X9" s="102">
        <v>0</v>
      </c>
      <c r="Y9" s="66" t="s">
        <v>21</v>
      </c>
      <c r="Z9" s="100" t="s">
        <v>45</v>
      </c>
      <c r="AA9" s="66" t="s">
        <v>20</v>
      </c>
      <c r="AB9" s="101">
        <v>2</v>
      </c>
      <c r="AC9" s="102">
        <v>1</v>
      </c>
      <c r="AD9" s="66" t="s">
        <v>21</v>
      </c>
      <c r="AE9" s="100" t="s">
        <v>22</v>
      </c>
      <c r="AF9" s="66" t="s">
        <v>24</v>
      </c>
      <c r="AG9" s="215" t="s">
        <v>48</v>
      </c>
      <c r="AH9" s="215"/>
      <c r="AI9" s="215"/>
      <c r="AJ9" s="216"/>
    </row>
    <row r="10" ht="70" customHeight="1" spans="1:36">
      <c r="A10" s="69" t="s">
        <v>49</v>
      </c>
      <c r="B10" s="70" t="s">
        <v>50</v>
      </c>
      <c r="C10" s="71"/>
      <c r="D10" s="71"/>
      <c r="E10" s="71"/>
      <c r="F10" s="65"/>
      <c r="G10" s="66"/>
      <c r="H10" s="127"/>
      <c r="I10" s="127"/>
      <c r="J10" s="127"/>
      <c r="K10" s="127"/>
      <c r="L10" s="66" t="s">
        <v>28</v>
      </c>
      <c r="M10" s="501" t="s">
        <v>51</v>
      </c>
      <c r="N10" s="108"/>
      <c r="O10" s="108"/>
      <c r="P10" s="108"/>
      <c r="Q10" s="66" t="s">
        <v>28</v>
      </c>
      <c r="R10" s="499" t="s">
        <v>52</v>
      </c>
      <c r="S10" s="499"/>
      <c r="T10" s="499"/>
      <c r="U10" s="499"/>
      <c r="V10" s="66" t="s">
        <v>28</v>
      </c>
      <c r="W10" s="107" t="s">
        <v>53</v>
      </c>
      <c r="X10" s="107"/>
      <c r="Y10" s="107"/>
      <c r="Z10" s="107"/>
      <c r="AA10" s="66" t="s">
        <v>28</v>
      </c>
      <c r="AB10" s="142" t="s">
        <v>54</v>
      </c>
      <c r="AC10" s="142"/>
      <c r="AD10" s="142"/>
      <c r="AE10" s="142"/>
      <c r="AF10" s="66"/>
      <c r="AG10" s="215"/>
      <c r="AH10" s="215"/>
      <c r="AI10" s="215"/>
      <c r="AJ10" s="216"/>
    </row>
    <row r="11" ht="15" customHeight="1" spans="1:36">
      <c r="A11" s="78"/>
      <c r="B11" s="78"/>
      <c r="C11" s="78"/>
      <c r="D11" s="78"/>
      <c r="E11" s="78"/>
      <c r="F11" s="65" t="s">
        <v>55</v>
      </c>
      <c r="G11" s="73" t="s">
        <v>56</v>
      </c>
      <c r="H11" s="73"/>
      <c r="I11" s="73"/>
      <c r="J11" s="73"/>
      <c r="K11" s="73"/>
      <c r="L11" s="106" t="s">
        <v>57</v>
      </c>
      <c r="M11" s="61"/>
      <c r="N11" s="61"/>
      <c r="O11" s="61"/>
      <c r="P11" s="61"/>
      <c r="Q11" s="106" t="s">
        <v>58</v>
      </c>
      <c r="R11" s="61"/>
      <c r="S11" s="61"/>
      <c r="T11" s="61"/>
      <c r="U11" s="61"/>
      <c r="V11" s="106" t="s">
        <v>59</v>
      </c>
      <c r="W11" s="61"/>
      <c r="X11" s="61"/>
      <c r="Y11" s="61"/>
      <c r="Z11" s="61"/>
      <c r="AA11" s="106" t="s">
        <v>60</v>
      </c>
      <c r="AB11" s="61"/>
      <c r="AC11" s="61"/>
      <c r="AD11" s="61"/>
      <c r="AE11" s="61"/>
      <c r="AF11" s="73" t="s">
        <v>61</v>
      </c>
      <c r="AG11" s="73"/>
      <c r="AH11" s="73"/>
      <c r="AI11" s="73"/>
      <c r="AJ11" s="120"/>
    </row>
    <row r="12" ht="48" customHeight="1" spans="1:36">
      <c r="A12" s="79" t="s">
        <v>62</v>
      </c>
      <c r="B12" s="80" t="str">
        <f>_xlfn.DISPIMG("ID_7908D39EEAA34C6C8E7513F8FECDFB7E",1)</f>
        <v>=DISPIMG("ID_7908D39EEAA34C6C8E7513F8FECDFB7E",1)</v>
      </c>
      <c r="C12" s="80"/>
      <c r="D12" s="80"/>
      <c r="E12" s="80"/>
      <c r="F12" s="65"/>
      <c r="G12" s="66" t="s">
        <v>11</v>
      </c>
      <c r="H12" s="67" t="s">
        <v>63</v>
      </c>
      <c r="I12" s="67"/>
      <c r="J12" s="67"/>
      <c r="K12" s="67"/>
      <c r="L12" s="66" t="s">
        <v>13</v>
      </c>
      <c r="M12" s="98">
        <v>0</v>
      </c>
      <c r="N12" s="99">
        <v>1</v>
      </c>
      <c r="O12" s="66" t="s">
        <v>14</v>
      </c>
      <c r="P12" s="100" t="s">
        <v>64</v>
      </c>
      <c r="Q12" s="66" t="s">
        <v>13</v>
      </c>
      <c r="R12" s="98">
        <v>1</v>
      </c>
      <c r="S12" s="99">
        <v>0</v>
      </c>
      <c r="T12" s="66" t="s">
        <v>14</v>
      </c>
      <c r="U12" s="100" t="s">
        <v>65</v>
      </c>
      <c r="V12" s="66" t="s">
        <v>13</v>
      </c>
      <c r="W12" s="98">
        <v>0</v>
      </c>
      <c r="X12" s="99">
        <v>1</v>
      </c>
      <c r="Y12" s="66" t="s">
        <v>14</v>
      </c>
      <c r="Z12" s="100" t="s">
        <v>66</v>
      </c>
      <c r="AA12" s="66" t="s">
        <v>13</v>
      </c>
      <c r="AB12" s="98">
        <v>1</v>
      </c>
      <c r="AC12" s="99">
        <v>1</v>
      </c>
      <c r="AD12" s="66" t="s">
        <v>14</v>
      </c>
      <c r="AE12" s="100" t="s">
        <v>67</v>
      </c>
      <c r="AF12" s="66" t="s">
        <v>16</v>
      </c>
      <c r="AG12" s="159" t="s">
        <v>68</v>
      </c>
      <c r="AH12" s="159"/>
      <c r="AI12" s="159"/>
      <c r="AJ12" s="160"/>
    </row>
    <row r="13" ht="48" customHeight="1" spans="1:36">
      <c r="A13" s="82"/>
      <c r="B13" s="80"/>
      <c r="C13" s="80"/>
      <c r="D13" s="80"/>
      <c r="E13" s="80"/>
      <c r="F13" s="65"/>
      <c r="G13" s="66" t="s">
        <v>18</v>
      </c>
      <c r="H13" s="122" t="s">
        <v>69</v>
      </c>
      <c r="I13" s="122"/>
      <c r="J13" s="122"/>
      <c r="K13" s="122"/>
      <c r="L13" s="66" t="s">
        <v>20</v>
      </c>
      <c r="M13" s="101">
        <v>3</v>
      </c>
      <c r="N13" s="102">
        <v>0</v>
      </c>
      <c r="O13" s="66" t="s">
        <v>21</v>
      </c>
      <c r="P13" s="100" t="s">
        <v>22</v>
      </c>
      <c r="Q13" s="66" t="s">
        <v>20</v>
      </c>
      <c r="R13" s="101">
        <v>5</v>
      </c>
      <c r="S13" s="102">
        <v>0</v>
      </c>
      <c r="T13" s="66" t="s">
        <v>21</v>
      </c>
      <c r="U13" s="100" t="s">
        <v>23</v>
      </c>
      <c r="V13" s="66" t="s">
        <v>20</v>
      </c>
      <c r="W13" s="101">
        <v>3</v>
      </c>
      <c r="X13" s="102">
        <v>0</v>
      </c>
      <c r="Y13" s="66" t="s">
        <v>21</v>
      </c>
      <c r="Z13" s="100" t="s">
        <v>70</v>
      </c>
      <c r="AA13" s="66" t="s">
        <v>20</v>
      </c>
      <c r="AB13" s="101">
        <v>6</v>
      </c>
      <c r="AC13" s="102">
        <v>2</v>
      </c>
      <c r="AD13" s="66" t="s">
        <v>21</v>
      </c>
      <c r="AE13" s="100" t="s">
        <v>71</v>
      </c>
      <c r="AF13" s="66" t="s">
        <v>24</v>
      </c>
      <c r="AG13" s="215" t="s">
        <v>72</v>
      </c>
      <c r="AH13" s="215"/>
      <c r="AI13" s="215"/>
      <c r="AJ13" s="216"/>
    </row>
    <row r="14" ht="70" customHeight="1" spans="1:36">
      <c r="A14" s="82"/>
      <c r="B14" s="80"/>
      <c r="C14" s="80"/>
      <c r="D14" s="80"/>
      <c r="E14" s="80"/>
      <c r="F14" s="65"/>
      <c r="G14" s="66"/>
      <c r="H14" s="122"/>
      <c r="I14" s="122"/>
      <c r="J14" s="122"/>
      <c r="K14" s="122"/>
      <c r="L14" s="66" t="s">
        <v>28</v>
      </c>
      <c r="M14" s="108" t="s">
        <v>73</v>
      </c>
      <c r="N14" s="108"/>
      <c r="O14" s="108"/>
      <c r="P14" s="108"/>
      <c r="Q14" s="66" t="s">
        <v>28</v>
      </c>
      <c r="R14" s="502" t="s">
        <v>74</v>
      </c>
      <c r="S14" s="142"/>
      <c r="T14" s="142"/>
      <c r="U14" s="142"/>
      <c r="V14" s="66" t="s">
        <v>28</v>
      </c>
      <c r="W14" s="107" t="s">
        <v>75</v>
      </c>
      <c r="X14" s="108"/>
      <c r="Y14" s="108"/>
      <c r="Z14" s="108"/>
      <c r="AA14" s="66" t="s">
        <v>28</v>
      </c>
      <c r="AB14" s="107" t="s">
        <v>76</v>
      </c>
      <c r="AC14" s="107"/>
      <c r="AD14" s="107"/>
      <c r="AE14" s="107"/>
      <c r="AF14" s="66"/>
      <c r="AG14" s="215"/>
      <c r="AH14" s="215"/>
      <c r="AI14" s="215"/>
      <c r="AJ14" s="216"/>
    </row>
    <row r="15" ht="15" customHeight="1" spans="1:36">
      <c r="A15" s="83"/>
      <c r="B15" s="83"/>
      <c r="C15" s="83"/>
      <c r="D15" s="83"/>
      <c r="E15" s="83"/>
      <c r="F15" s="65" t="s">
        <v>77</v>
      </c>
      <c r="G15" s="84" t="s">
        <v>78</v>
      </c>
      <c r="H15" s="73"/>
      <c r="I15" s="73"/>
      <c r="J15" s="73"/>
      <c r="K15" s="73"/>
      <c r="L15" s="61" t="s">
        <v>79</v>
      </c>
      <c r="M15" s="61"/>
      <c r="N15" s="61"/>
      <c r="O15" s="61"/>
      <c r="P15" s="61"/>
      <c r="Q15" s="61" t="s">
        <v>80</v>
      </c>
      <c r="R15" s="61"/>
      <c r="S15" s="61"/>
      <c r="T15" s="61"/>
      <c r="U15" s="61"/>
      <c r="V15" s="106" t="s">
        <v>81</v>
      </c>
      <c r="W15" s="61"/>
      <c r="X15" s="61"/>
      <c r="Y15" s="61"/>
      <c r="Z15" s="61"/>
      <c r="AA15" s="106" t="s">
        <v>82</v>
      </c>
      <c r="AB15" s="61"/>
      <c r="AC15" s="61"/>
      <c r="AD15" s="61"/>
      <c r="AE15" s="61"/>
      <c r="AF15" s="84" t="s">
        <v>78</v>
      </c>
      <c r="AG15" s="73"/>
      <c r="AH15" s="73"/>
      <c r="AI15" s="73"/>
      <c r="AJ15" s="120"/>
    </row>
    <row r="16" ht="48" customHeight="1" spans="1:36">
      <c r="A16" s="85" t="s">
        <v>83</v>
      </c>
      <c r="B16" s="86" t="s">
        <v>84</v>
      </c>
      <c r="C16" s="87"/>
      <c r="D16" s="87"/>
      <c r="E16" s="87"/>
      <c r="F16" s="65"/>
      <c r="G16" s="66" t="s">
        <v>16</v>
      </c>
      <c r="H16" s="159" t="s">
        <v>85</v>
      </c>
      <c r="I16" s="159"/>
      <c r="J16" s="159"/>
      <c r="K16" s="159"/>
      <c r="L16" s="66" t="s">
        <v>13</v>
      </c>
      <c r="M16" s="98">
        <v>1</v>
      </c>
      <c r="N16" s="99">
        <v>0</v>
      </c>
      <c r="O16" s="66" t="s">
        <v>14</v>
      </c>
      <c r="P16" s="100" t="str">
        <f>_xlfn.DISPIMG("ID_83497D9D197843F1A9F58B9E776F6CA0",1)</f>
        <v>=DISPIMG("ID_83497D9D197843F1A9F58B9E776F6CA0",1)</v>
      </c>
      <c r="Q16" s="66" t="s">
        <v>13</v>
      </c>
      <c r="R16" s="98">
        <v>0</v>
      </c>
      <c r="S16" s="99">
        <v>1</v>
      </c>
      <c r="T16" s="66" t="s">
        <v>14</v>
      </c>
      <c r="U16" s="100" t="str">
        <f>_xlfn.DISPIMG("ID_83497D9D197843F1A9F58B9E776F6CA0",1)</f>
        <v>=DISPIMG("ID_83497D9D197843F1A9F58B9E776F6CA0",1)</v>
      </c>
      <c r="V16" s="66" t="s">
        <v>13</v>
      </c>
      <c r="W16" s="98">
        <v>0</v>
      </c>
      <c r="X16" s="99">
        <v>1</v>
      </c>
      <c r="Y16" s="66" t="s">
        <v>14</v>
      </c>
      <c r="Z16" s="100" t="str">
        <f>_xlfn.DISPIMG("ID_83497D9D197843F1A9F58B9E776F6CA0",1)</f>
        <v>=DISPIMG("ID_83497D9D197843F1A9F58B9E776F6CA0",1)</v>
      </c>
      <c r="AA16" s="66" t="s">
        <v>13</v>
      </c>
      <c r="AB16" s="98">
        <v>1</v>
      </c>
      <c r="AC16" s="99">
        <v>1</v>
      </c>
      <c r="AD16" s="66" t="s">
        <v>14</v>
      </c>
      <c r="AE16" s="100" t="s">
        <v>44</v>
      </c>
      <c r="AF16" s="66" t="s">
        <v>16</v>
      </c>
      <c r="AG16" s="504" t="s">
        <v>86</v>
      </c>
      <c r="AH16" s="504"/>
      <c r="AI16" s="504"/>
      <c r="AJ16" s="505"/>
    </row>
    <row r="17" ht="48" customHeight="1" spans="1:36">
      <c r="A17" s="85" t="s">
        <v>87</v>
      </c>
      <c r="B17" s="86" t="s">
        <v>88</v>
      </c>
      <c r="C17" s="87"/>
      <c r="D17" s="87"/>
      <c r="E17" s="87"/>
      <c r="F17" s="65"/>
      <c r="G17" s="66" t="s">
        <v>24</v>
      </c>
      <c r="H17" s="215" t="s">
        <v>89</v>
      </c>
      <c r="I17" s="215"/>
      <c r="J17" s="215"/>
      <c r="K17" s="215"/>
      <c r="L17" s="66" t="s">
        <v>20</v>
      </c>
      <c r="M17" s="101">
        <v>7</v>
      </c>
      <c r="N17" s="102">
        <v>0</v>
      </c>
      <c r="O17" s="66" t="s">
        <v>21</v>
      </c>
      <c r="P17" s="100" t="s">
        <v>23</v>
      </c>
      <c r="Q17" s="66" t="s">
        <v>20</v>
      </c>
      <c r="R17" s="101">
        <v>3</v>
      </c>
      <c r="S17" s="102">
        <v>0</v>
      </c>
      <c r="T17" s="66" t="s">
        <v>21</v>
      </c>
      <c r="U17" s="100" t="s">
        <v>23</v>
      </c>
      <c r="V17" s="66" t="s">
        <v>20</v>
      </c>
      <c r="W17" s="101">
        <v>6</v>
      </c>
      <c r="X17" s="102">
        <v>0</v>
      </c>
      <c r="Y17" s="66" t="s">
        <v>21</v>
      </c>
      <c r="Z17" s="100" t="s">
        <v>90</v>
      </c>
      <c r="AA17" s="66" t="s">
        <v>20</v>
      </c>
      <c r="AB17" s="101">
        <v>10</v>
      </c>
      <c r="AC17" s="102">
        <v>2</v>
      </c>
      <c r="AD17" s="66" t="s">
        <v>21</v>
      </c>
      <c r="AE17" s="100" t="s">
        <v>22</v>
      </c>
      <c r="AF17" s="66" t="s">
        <v>24</v>
      </c>
      <c r="AG17" s="506" t="s">
        <v>91</v>
      </c>
      <c r="AH17" s="506"/>
      <c r="AI17" s="506"/>
      <c r="AJ17" s="507"/>
    </row>
    <row r="18" ht="87" customHeight="1" spans="1:36">
      <c r="A18" s="90" t="s">
        <v>92</v>
      </c>
      <c r="B18" s="91" t="s">
        <v>93</v>
      </c>
      <c r="C18" s="92"/>
      <c r="D18" s="92"/>
      <c r="E18" s="92"/>
      <c r="F18" s="93"/>
      <c r="G18" s="94"/>
      <c r="H18" s="378"/>
      <c r="I18" s="378"/>
      <c r="J18" s="378"/>
      <c r="K18" s="378"/>
      <c r="L18" s="66" t="s">
        <v>28</v>
      </c>
      <c r="M18" s="108" t="s">
        <v>94</v>
      </c>
      <c r="N18" s="108"/>
      <c r="O18" s="108"/>
      <c r="P18" s="108"/>
      <c r="Q18" s="66" t="s">
        <v>28</v>
      </c>
      <c r="R18" s="462" t="s">
        <v>95</v>
      </c>
      <c r="S18" s="108"/>
      <c r="T18" s="108"/>
      <c r="U18" s="108"/>
      <c r="V18" s="66" t="s">
        <v>28</v>
      </c>
      <c r="W18" s="462" t="s">
        <v>96</v>
      </c>
      <c r="X18" s="108"/>
      <c r="Y18" s="108"/>
      <c r="Z18" s="108"/>
      <c r="AA18" s="66" t="s">
        <v>28</v>
      </c>
      <c r="AB18" s="103" t="s">
        <v>97</v>
      </c>
      <c r="AC18" s="103"/>
      <c r="AD18" s="103"/>
      <c r="AE18" s="103"/>
      <c r="AF18" s="94"/>
      <c r="AG18" s="508"/>
      <c r="AH18" s="508"/>
      <c r="AI18" s="508"/>
      <c r="AJ18" s="509"/>
    </row>
    <row r="47" spans="18:18">
      <c r="R47"/>
    </row>
  </sheetData>
  <sheetProtection selectLockedCells="1" formatCells="0" formatColumns="0" formatRows="0" insertRows="0" insertColumns="0" insertHyperlinks="0" deleteColumns="0" deleteRows="0" sort="0" autoFilter="0" pivotTables="0"/>
  <mergeCells count="85">
    <mergeCell ref="B1:C1"/>
    <mergeCell ref="D1:E1"/>
    <mergeCell ref="L1:P1"/>
    <mergeCell ref="Q1:U1"/>
    <mergeCell ref="V1:Z1"/>
    <mergeCell ref="AA1:AE1"/>
    <mergeCell ref="G3:K3"/>
    <mergeCell ref="L3:P3"/>
    <mergeCell ref="Q3:U3"/>
    <mergeCell ref="V3:Z3"/>
    <mergeCell ref="AA3:AE3"/>
    <mergeCell ref="AF3:AJ3"/>
    <mergeCell ref="H4:K4"/>
    <mergeCell ref="AG4:AJ4"/>
    <mergeCell ref="B6:E6"/>
    <mergeCell ref="M6:P6"/>
    <mergeCell ref="R6:U6"/>
    <mergeCell ref="W6:Z6"/>
    <mergeCell ref="AB6:AE6"/>
    <mergeCell ref="G7:K7"/>
    <mergeCell ref="L7:P7"/>
    <mergeCell ref="Q7:U7"/>
    <mergeCell ref="V7:Z7"/>
    <mergeCell ref="AA7:AE7"/>
    <mergeCell ref="AF7:AJ7"/>
    <mergeCell ref="H8:K8"/>
    <mergeCell ref="AG8:AJ8"/>
    <mergeCell ref="B10:E10"/>
    <mergeCell ref="M10:P10"/>
    <mergeCell ref="R10:U10"/>
    <mergeCell ref="W10:Z10"/>
    <mergeCell ref="AB10:AE10"/>
    <mergeCell ref="G11:K11"/>
    <mergeCell ref="L11:P11"/>
    <mergeCell ref="Q11:U11"/>
    <mergeCell ref="V11:Z11"/>
    <mergeCell ref="AA11:AE11"/>
    <mergeCell ref="AF11:AJ11"/>
    <mergeCell ref="H12:K12"/>
    <mergeCell ref="AG12:AJ12"/>
    <mergeCell ref="M14:P14"/>
    <mergeCell ref="R14:U14"/>
    <mergeCell ref="W14:Z14"/>
    <mergeCell ref="AB14:AE14"/>
    <mergeCell ref="G15:K15"/>
    <mergeCell ref="L15:P15"/>
    <mergeCell ref="Q15:U15"/>
    <mergeCell ref="V15:Z15"/>
    <mergeCell ref="AA15:AE15"/>
    <mergeCell ref="AF15:AJ15"/>
    <mergeCell ref="B16:E16"/>
    <mergeCell ref="H16:K16"/>
    <mergeCell ref="AG16:AJ16"/>
    <mergeCell ref="B17:E17"/>
    <mergeCell ref="B18:E18"/>
    <mergeCell ref="M18:P18"/>
    <mergeCell ref="R18:U18"/>
    <mergeCell ref="W18:Z18"/>
    <mergeCell ref="AB18:AE18"/>
    <mergeCell ref="A7:A9"/>
    <mergeCell ref="A12:A14"/>
    <mergeCell ref="F3:F6"/>
    <mergeCell ref="F7:F10"/>
    <mergeCell ref="F11:F14"/>
    <mergeCell ref="F15:F18"/>
    <mergeCell ref="G5:G6"/>
    <mergeCell ref="G9:G10"/>
    <mergeCell ref="G13:G14"/>
    <mergeCell ref="G17:G18"/>
    <mergeCell ref="AF5:AF6"/>
    <mergeCell ref="AF9:AF10"/>
    <mergeCell ref="AF13:AF14"/>
    <mergeCell ref="AF17:AF18"/>
    <mergeCell ref="A4:B5"/>
    <mergeCell ref="C4:E5"/>
    <mergeCell ref="H5:K6"/>
    <mergeCell ref="AG5:AJ6"/>
    <mergeCell ref="B7:E9"/>
    <mergeCell ref="H9:K10"/>
    <mergeCell ref="AG9:AJ10"/>
    <mergeCell ref="B12:E14"/>
    <mergeCell ref="H13:K14"/>
    <mergeCell ref="AG13:AJ14"/>
    <mergeCell ref="AG17:AJ18"/>
    <mergeCell ref="H17:K18"/>
  </mergeCells>
  <conditionalFormatting sqref="M4">
    <cfRule type="cellIs" dxfId="0" priority="43" operator="equal">
      <formula>0</formula>
    </cfRule>
  </conditionalFormatting>
  <conditionalFormatting sqref="N4">
    <cfRule type="cellIs" dxfId="0" priority="44" operator="equal">
      <formula>0</formula>
    </cfRule>
  </conditionalFormatting>
  <conditionalFormatting sqref="R4">
    <cfRule type="cellIs" dxfId="0" priority="40" operator="equal">
      <formula>0</formula>
    </cfRule>
  </conditionalFormatting>
  <conditionalFormatting sqref="S4">
    <cfRule type="cellIs" dxfId="0" priority="41" operator="equal">
      <formula>0</formula>
    </cfRule>
  </conditionalFormatting>
  <conditionalFormatting sqref="W4">
    <cfRule type="cellIs" dxfId="0" priority="37" operator="equal">
      <formula>0</formula>
    </cfRule>
  </conditionalFormatting>
  <conditionalFormatting sqref="X4">
    <cfRule type="cellIs" dxfId="0" priority="38" operator="equal">
      <formula>0</formula>
    </cfRule>
  </conditionalFormatting>
  <conditionalFormatting sqref="AB4">
    <cfRule type="cellIs" dxfId="0" priority="34" operator="equal">
      <formula>0</formula>
    </cfRule>
  </conditionalFormatting>
  <conditionalFormatting sqref="AC4">
    <cfRule type="cellIs" dxfId="0" priority="35" operator="equal">
      <formula>0</formula>
    </cfRule>
  </conditionalFormatting>
  <conditionalFormatting sqref="M8">
    <cfRule type="cellIs" dxfId="0" priority="31" operator="equal">
      <formula>0</formula>
    </cfRule>
  </conditionalFormatting>
  <conditionalFormatting sqref="N8">
    <cfRule type="cellIs" dxfId="0" priority="32" operator="equal">
      <formula>0</formula>
    </cfRule>
  </conditionalFormatting>
  <conditionalFormatting sqref="R8">
    <cfRule type="cellIs" dxfId="0" priority="22" operator="equal">
      <formula>0</formula>
    </cfRule>
  </conditionalFormatting>
  <conditionalFormatting sqref="S8">
    <cfRule type="cellIs" dxfId="0" priority="23" operator="equal">
      <formula>0</formula>
    </cfRule>
  </conditionalFormatting>
  <conditionalFormatting sqref="W8">
    <cfRule type="cellIs" dxfId="0" priority="19" operator="equal">
      <formula>0</formula>
    </cfRule>
  </conditionalFormatting>
  <conditionalFormatting sqref="X8">
    <cfRule type="cellIs" dxfId="0" priority="20" operator="equal">
      <formula>0</formula>
    </cfRule>
  </conditionalFormatting>
  <conditionalFormatting sqref="AB8">
    <cfRule type="cellIs" dxfId="0" priority="1" operator="equal">
      <formula>0</formula>
    </cfRule>
  </conditionalFormatting>
  <conditionalFormatting sqref="AC8">
    <cfRule type="cellIs" dxfId="0" priority="2" operator="equal">
      <formula>0</formula>
    </cfRule>
  </conditionalFormatting>
  <conditionalFormatting sqref="M12">
    <cfRule type="cellIs" dxfId="0" priority="28" operator="equal">
      <formula>0</formula>
    </cfRule>
  </conditionalFormatting>
  <conditionalFormatting sqref="N12">
    <cfRule type="cellIs" dxfId="0" priority="29" operator="equal">
      <formula>0</formula>
    </cfRule>
  </conditionalFormatting>
  <conditionalFormatting sqref="R12">
    <cfRule type="cellIs" dxfId="0" priority="25" operator="equal">
      <formula>0</formula>
    </cfRule>
  </conditionalFormatting>
  <conditionalFormatting sqref="S12">
    <cfRule type="cellIs" dxfId="0" priority="26" operator="equal">
      <formula>0</formula>
    </cfRule>
  </conditionalFormatting>
  <conditionalFormatting sqref="W12">
    <cfRule type="cellIs" dxfId="0" priority="16" operator="equal">
      <formula>0</formula>
    </cfRule>
  </conditionalFormatting>
  <conditionalFormatting sqref="X12">
    <cfRule type="cellIs" dxfId="0" priority="17" operator="equal">
      <formula>0</formula>
    </cfRule>
  </conditionalFormatting>
  <conditionalFormatting sqref="AB12">
    <cfRule type="cellIs" dxfId="0" priority="7" operator="equal">
      <formula>0</formula>
    </cfRule>
  </conditionalFormatting>
  <conditionalFormatting sqref="AC12">
    <cfRule type="cellIs" dxfId="0" priority="8" operator="equal">
      <formula>0</formula>
    </cfRule>
  </conditionalFormatting>
  <conditionalFormatting sqref="R16">
    <cfRule type="cellIs" dxfId="0" priority="13" operator="equal">
      <formula>0</formula>
    </cfRule>
  </conditionalFormatting>
  <conditionalFormatting sqref="S16">
    <cfRule type="cellIs" dxfId="0" priority="14" operator="equal">
      <formula>0</formula>
    </cfRule>
  </conditionalFormatting>
  <conditionalFormatting sqref="W16">
    <cfRule type="cellIs" dxfId="0" priority="10" operator="equal">
      <formula>0</formula>
    </cfRule>
  </conditionalFormatting>
  <conditionalFormatting sqref="X16">
    <cfRule type="cellIs" dxfId="0" priority="11" operator="equal">
      <formula>0</formula>
    </cfRule>
  </conditionalFormatting>
  <conditionalFormatting sqref="AB16">
    <cfRule type="cellIs" dxfId="0" priority="4" operator="equal">
      <formula>0</formula>
    </cfRule>
  </conditionalFormatting>
  <conditionalFormatting sqref="AC16">
    <cfRule type="cellIs" dxfId="0" priority="5" operator="equal">
      <formula>0</formula>
    </cfRule>
  </conditionalFormatting>
  <conditionalFormatting sqref="M4:N5">
    <cfRule type="cellIs" dxfId="1" priority="45" operator="equal">
      <formula>0</formula>
    </cfRule>
  </conditionalFormatting>
  <conditionalFormatting sqref="R4:S5">
    <cfRule type="cellIs" dxfId="1" priority="42" operator="equal">
      <formula>0</formula>
    </cfRule>
  </conditionalFormatting>
  <conditionalFormatting sqref="W4:X5">
    <cfRule type="cellIs" dxfId="1" priority="39" operator="equal">
      <formula>0</formula>
    </cfRule>
  </conditionalFormatting>
  <conditionalFormatting sqref="AB4:AC5">
    <cfRule type="cellIs" dxfId="1" priority="36" operator="equal">
      <formula>0</formula>
    </cfRule>
  </conditionalFormatting>
  <conditionalFormatting sqref="M8:N9">
    <cfRule type="cellIs" dxfId="1" priority="33" operator="equal">
      <formula>0</formula>
    </cfRule>
  </conditionalFormatting>
  <conditionalFormatting sqref="R8:S9">
    <cfRule type="cellIs" dxfId="1" priority="24" operator="equal">
      <formula>0</formula>
    </cfRule>
  </conditionalFormatting>
  <conditionalFormatting sqref="W8:X9">
    <cfRule type="cellIs" dxfId="1" priority="21" operator="equal">
      <formula>0</formula>
    </cfRule>
  </conditionalFormatting>
  <conditionalFormatting sqref="AB8:AC9">
    <cfRule type="cellIs" dxfId="1" priority="3" operator="equal">
      <formula>0</formula>
    </cfRule>
  </conditionalFormatting>
  <conditionalFormatting sqref="M12:N13">
    <cfRule type="cellIs" dxfId="1" priority="30" operator="equal">
      <formula>0</formula>
    </cfRule>
  </conditionalFormatting>
  <conditionalFormatting sqref="R12:S13">
    <cfRule type="cellIs" dxfId="1" priority="27" operator="equal">
      <formula>0</formula>
    </cfRule>
  </conditionalFormatting>
  <conditionalFormatting sqref="W12:X13">
    <cfRule type="cellIs" dxfId="1" priority="18" operator="equal">
      <formula>0</formula>
    </cfRule>
  </conditionalFormatting>
  <conditionalFormatting sqref="AB12:AC13">
    <cfRule type="cellIs" dxfId="1" priority="9" operator="equal">
      <formula>0</formula>
    </cfRule>
  </conditionalFormatting>
  <conditionalFormatting sqref="R16:S17">
    <cfRule type="cellIs" dxfId="1" priority="15" operator="equal">
      <formula>0</formula>
    </cfRule>
  </conditionalFormatting>
  <conditionalFormatting sqref="W16:X17">
    <cfRule type="cellIs" dxfId="1" priority="12" operator="equal">
      <formula>0</formula>
    </cfRule>
  </conditionalFormatting>
  <conditionalFormatting sqref="AB16:AC17">
    <cfRule type="cellIs" dxfId="1" priority="6" operator="equal">
      <formula>0</formula>
    </cfRule>
  </conditionalFormatting>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25"/>
    <pageSetUpPr autoPageBreaks="0"/>
  </sheetPr>
  <dimension ref="A1:AJ47"/>
  <sheetViews>
    <sheetView showGridLines="0" zoomScale="85" zoomScaleNormal="85" topLeftCell="M1" workbookViewId="0">
      <selection activeCell="M18" sqref="M18:P18"/>
    </sheetView>
  </sheetViews>
  <sheetFormatPr defaultColWidth="8.89090909090909" defaultRowHeight="16.5"/>
  <cols>
    <col min="1" max="5" width="10" style="1" customWidth="1"/>
    <col min="6" max="7" width="5" style="1" customWidth="1"/>
    <col min="8" max="11" width="10" style="1" customWidth="1"/>
    <col min="12" max="12" width="5" style="1" customWidth="1"/>
    <col min="13" max="14" width="10" style="1" customWidth="1"/>
    <col min="15" max="15" width="5" style="1" customWidth="1"/>
    <col min="16" max="16" width="20" style="1" customWidth="1"/>
    <col min="17" max="17" width="5" style="1" customWidth="1"/>
    <col min="18" max="19" width="10" style="1" customWidth="1"/>
    <col min="20" max="20" width="5" style="1" customWidth="1"/>
    <col min="21" max="21" width="20" style="1" customWidth="1"/>
    <col min="22" max="22" width="5" style="1" customWidth="1"/>
    <col min="23" max="24" width="10" style="1" customWidth="1"/>
    <col min="25" max="25" width="5" style="1" customWidth="1"/>
    <col min="26" max="26" width="20" style="1" customWidth="1"/>
    <col min="27" max="27" width="5" style="1" customWidth="1"/>
    <col min="28" max="29" width="10" style="1" customWidth="1"/>
    <col min="30" max="30" width="5" style="1" customWidth="1"/>
    <col min="31" max="31" width="20" style="1" customWidth="1"/>
    <col min="32" max="32" width="5" style="1" customWidth="1"/>
    <col min="33" max="36" width="10" style="1" customWidth="1"/>
    <col min="37" max="16384" width="8.89090909090909" style="1"/>
  </cols>
  <sheetData>
    <row r="1" s="1" customFormat="1" ht="60.75" customHeight="1" spans="1:36">
      <c r="A1" s="174" t="str">
        <f>_xlfn.DISPIMG("ID_A157D79EE7224A18B6A03F6C67C70505",1)</f>
        <v>=DISPIMG("ID_A157D79EE7224A18B6A03F6C67C70505",1)</v>
      </c>
      <c r="B1" s="54" t="s">
        <v>0</v>
      </c>
      <c r="C1" s="54"/>
      <c r="D1" s="175" t="s">
        <v>98</v>
      </c>
      <c r="E1" s="176"/>
      <c r="F1" s="5"/>
      <c r="G1" s="1"/>
      <c r="H1" s="1"/>
      <c r="I1" s="1"/>
      <c r="J1" s="1"/>
      <c r="K1" s="1"/>
      <c r="L1" s="109"/>
      <c r="M1" s="5"/>
      <c r="N1" s="5"/>
      <c r="O1" s="5"/>
      <c r="P1" s="5"/>
      <c r="Q1" s="109"/>
      <c r="R1" s="5"/>
      <c r="S1" s="5"/>
      <c r="T1" s="5"/>
      <c r="U1" s="5"/>
      <c r="V1" s="109"/>
      <c r="W1" s="5"/>
      <c r="X1" s="5"/>
      <c r="Y1" s="5"/>
      <c r="Z1" s="5"/>
      <c r="AA1" s="109"/>
      <c r="AB1" s="5"/>
      <c r="AC1" s="5"/>
      <c r="AD1" s="5"/>
      <c r="AE1" s="5"/>
      <c r="AF1" s="205" t="s">
        <v>99</v>
      </c>
      <c r="AG1" s="208"/>
      <c r="AH1" s="208"/>
      <c r="AI1" s="208"/>
      <c r="AJ1" s="208"/>
    </row>
    <row r="2" s="1" customFormat="1" customHeight="1" spans="1:36">
      <c r="A2" s="58"/>
      <c r="B2" s="58"/>
      <c r="C2" s="58"/>
      <c r="D2" s="58"/>
      <c r="E2" s="58"/>
      <c r="F2" s="177"/>
      <c r="G2" s="177"/>
      <c r="H2" s="177"/>
      <c r="I2" s="177"/>
      <c r="J2" s="177"/>
      <c r="K2" s="177"/>
      <c r="L2" s="192"/>
      <c r="M2" s="192"/>
      <c r="N2" s="192"/>
      <c r="O2" s="192"/>
      <c r="P2" s="192"/>
      <c r="Q2" s="192"/>
      <c r="R2" s="192"/>
      <c r="S2" s="192"/>
      <c r="T2" s="192"/>
      <c r="U2" s="192"/>
      <c r="V2" s="192"/>
      <c r="W2" s="192"/>
      <c r="X2" s="192"/>
      <c r="Y2" s="192"/>
      <c r="Z2" s="192"/>
      <c r="AA2" s="192"/>
      <c r="AB2" s="192"/>
      <c r="AC2" s="192"/>
      <c r="AD2" s="192"/>
      <c r="AE2" s="192"/>
      <c r="AF2" s="206"/>
      <c r="AG2" s="206"/>
      <c r="AH2" s="206"/>
      <c r="AI2" s="206"/>
      <c r="AJ2" s="209"/>
    </row>
    <row r="3" s="1" customFormat="1" ht="21.5" customHeight="1" spans="1:36">
      <c r="A3" s="58"/>
      <c r="B3" s="58"/>
      <c r="C3" s="58"/>
      <c r="D3" s="58"/>
      <c r="E3" s="58"/>
      <c r="F3" s="426" t="s">
        <v>3</v>
      </c>
      <c r="G3" s="427" t="s">
        <v>4</v>
      </c>
      <c r="H3" s="427"/>
      <c r="I3" s="427"/>
      <c r="J3" s="427"/>
      <c r="K3" s="427"/>
      <c r="L3" s="10" t="s">
        <v>100</v>
      </c>
      <c r="M3" s="10"/>
      <c r="N3" s="10"/>
      <c r="O3" s="10"/>
      <c r="P3" s="10"/>
      <c r="Q3" s="10" t="s">
        <v>101</v>
      </c>
      <c r="R3" s="10"/>
      <c r="S3" s="10"/>
      <c r="T3" s="10"/>
      <c r="U3" s="10"/>
      <c r="V3" s="10" t="s">
        <v>102</v>
      </c>
      <c r="W3" s="10"/>
      <c r="X3" s="10"/>
      <c r="Y3" s="10"/>
      <c r="Z3" s="10"/>
      <c r="AA3" s="10" t="s">
        <v>103</v>
      </c>
      <c r="AB3" s="10"/>
      <c r="AC3" s="10"/>
      <c r="AD3" s="10"/>
      <c r="AE3" s="10"/>
      <c r="AF3" s="10" t="s">
        <v>9</v>
      </c>
      <c r="AG3" s="10"/>
      <c r="AH3" s="10"/>
      <c r="AI3" s="10"/>
      <c r="AJ3" s="10"/>
    </row>
    <row r="4" s="1" customFormat="1" ht="61.5" customHeight="1" spans="1:36">
      <c r="A4" s="62" t="str">
        <f>_xlfn.DISPIMG("ID_04704C78AFD14ED2A754EE9B2881E121",1)</f>
        <v>=DISPIMG("ID_04704C78AFD14ED2A754EE9B2881E121",1)</v>
      </c>
      <c r="B4" s="62"/>
      <c r="C4" s="63" t="s">
        <v>104</v>
      </c>
      <c r="D4" s="64"/>
      <c r="E4" s="64"/>
      <c r="F4" s="426"/>
      <c r="G4" s="428" t="s">
        <v>11</v>
      </c>
      <c r="H4" s="490" t="s">
        <v>105</v>
      </c>
      <c r="I4" s="490"/>
      <c r="J4" s="490"/>
      <c r="K4" s="490"/>
      <c r="L4" s="13" t="s">
        <v>13</v>
      </c>
      <c r="M4" s="39">
        <v>1</v>
      </c>
      <c r="N4" s="30">
        <v>0</v>
      </c>
      <c r="O4" s="13" t="s">
        <v>14</v>
      </c>
      <c r="P4" s="31" t="s">
        <v>44</v>
      </c>
      <c r="Q4" s="13" t="s">
        <v>13</v>
      </c>
      <c r="R4" s="29">
        <v>0</v>
      </c>
      <c r="S4" s="35">
        <v>1</v>
      </c>
      <c r="T4" s="13" t="s">
        <v>14</v>
      </c>
      <c r="U4" s="31" t="s">
        <v>44</v>
      </c>
      <c r="V4" s="13" t="s">
        <v>13</v>
      </c>
      <c r="W4" s="39">
        <v>1</v>
      </c>
      <c r="X4" s="30">
        <v>0</v>
      </c>
      <c r="Y4" s="13" t="s">
        <v>14</v>
      </c>
      <c r="Z4" s="31" t="s">
        <v>44</v>
      </c>
      <c r="AA4" s="13" t="s">
        <v>13</v>
      </c>
      <c r="AB4" s="29">
        <v>0</v>
      </c>
      <c r="AC4" s="35">
        <v>1</v>
      </c>
      <c r="AD4" s="13" t="s">
        <v>14</v>
      </c>
      <c r="AE4" s="31" t="s">
        <v>45</v>
      </c>
      <c r="AF4" s="13" t="s">
        <v>16</v>
      </c>
      <c r="AG4" s="47" t="s">
        <v>106</v>
      </c>
      <c r="AH4" s="47"/>
      <c r="AI4" s="47"/>
      <c r="AJ4" s="47"/>
    </row>
    <row r="5" s="1" customFormat="1" ht="63" customHeight="1" spans="1:36">
      <c r="A5" s="62"/>
      <c r="B5" s="62"/>
      <c r="C5" s="64"/>
      <c r="D5" s="64"/>
      <c r="E5" s="64"/>
      <c r="F5" s="426"/>
      <c r="G5" s="428" t="s">
        <v>18</v>
      </c>
      <c r="H5" s="491" t="s">
        <v>107</v>
      </c>
      <c r="I5" s="491"/>
      <c r="J5" s="491"/>
      <c r="K5" s="491"/>
      <c r="L5" s="13" t="s">
        <v>20</v>
      </c>
      <c r="M5" s="43">
        <v>0</v>
      </c>
      <c r="N5" s="33">
        <v>0</v>
      </c>
      <c r="O5" s="13" t="s">
        <v>108</v>
      </c>
      <c r="P5" s="31" t="s">
        <v>22</v>
      </c>
      <c r="Q5" s="13" t="s">
        <v>20</v>
      </c>
      <c r="R5" s="32">
        <v>2</v>
      </c>
      <c r="S5" s="33">
        <v>0</v>
      </c>
      <c r="T5" s="13" t="s">
        <v>21</v>
      </c>
      <c r="U5" s="31" t="s">
        <v>22</v>
      </c>
      <c r="V5" s="13" t="s">
        <v>20</v>
      </c>
      <c r="W5" s="32">
        <v>2</v>
      </c>
      <c r="X5" s="33">
        <v>0</v>
      </c>
      <c r="Y5" s="13" t="s">
        <v>21</v>
      </c>
      <c r="Z5" s="31" t="s">
        <v>22</v>
      </c>
      <c r="AA5" s="13" t="s">
        <v>20</v>
      </c>
      <c r="AB5" s="32">
        <v>2</v>
      </c>
      <c r="AC5" s="33">
        <v>0</v>
      </c>
      <c r="AD5" s="13" t="s">
        <v>21</v>
      </c>
      <c r="AE5" s="31" t="s">
        <v>45</v>
      </c>
      <c r="AF5" s="13" t="s">
        <v>24</v>
      </c>
      <c r="AG5" s="51" t="s">
        <v>109</v>
      </c>
      <c r="AH5" s="51"/>
      <c r="AI5" s="51"/>
      <c r="AJ5" s="51"/>
    </row>
    <row r="6" s="1" customFormat="1" ht="67.5" customHeight="1" spans="1:36">
      <c r="A6" s="69" t="s">
        <v>26</v>
      </c>
      <c r="B6" s="70" t="s">
        <v>110</v>
      </c>
      <c r="C6" s="71"/>
      <c r="D6" s="71"/>
      <c r="E6" s="71"/>
      <c r="F6" s="426"/>
      <c r="G6" s="428"/>
      <c r="H6" s="491"/>
      <c r="I6" s="491"/>
      <c r="J6" s="491"/>
      <c r="K6" s="491"/>
      <c r="L6" s="440" t="s">
        <v>28</v>
      </c>
      <c r="M6" s="492" t="s">
        <v>111</v>
      </c>
      <c r="N6" s="492"/>
      <c r="O6" s="492"/>
      <c r="P6" s="492"/>
      <c r="Q6" s="440" t="s">
        <v>28</v>
      </c>
      <c r="R6" s="495" t="s">
        <v>112</v>
      </c>
      <c r="S6" s="495"/>
      <c r="T6" s="495"/>
      <c r="U6" s="495"/>
      <c r="V6" s="440" t="s">
        <v>28</v>
      </c>
      <c r="W6" s="492" t="s">
        <v>113</v>
      </c>
      <c r="X6" s="492"/>
      <c r="Y6" s="492"/>
      <c r="Z6" s="492"/>
      <c r="AA6" s="440" t="s">
        <v>28</v>
      </c>
      <c r="AB6" s="446" t="s">
        <v>114</v>
      </c>
      <c r="AC6" s="446"/>
      <c r="AD6" s="446"/>
      <c r="AE6" s="446"/>
      <c r="AF6" s="13"/>
      <c r="AG6" s="51"/>
      <c r="AH6" s="51"/>
      <c r="AI6" s="51"/>
      <c r="AJ6" s="51"/>
    </row>
    <row r="7" s="1" customFormat="1" ht="20.75" customHeight="1" spans="1:36">
      <c r="A7" s="69" t="s">
        <v>33</v>
      </c>
      <c r="B7" s="72" t="s">
        <v>115</v>
      </c>
      <c r="C7" s="72"/>
      <c r="D7" s="72"/>
      <c r="E7" s="72"/>
      <c r="F7" s="431" t="s">
        <v>35</v>
      </c>
      <c r="G7" s="427" t="s">
        <v>36</v>
      </c>
      <c r="H7" s="427"/>
      <c r="I7" s="427"/>
      <c r="J7" s="427"/>
      <c r="K7" s="427"/>
      <c r="L7" s="10" t="s">
        <v>116</v>
      </c>
      <c r="M7" s="10"/>
      <c r="N7" s="10"/>
      <c r="O7" s="10"/>
      <c r="P7" s="10"/>
      <c r="Q7" s="10" t="s">
        <v>117</v>
      </c>
      <c r="R7" s="10"/>
      <c r="S7" s="10"/>
      <c r="T7" s="10"/>
      <c r="U7" s="10"/>
      <c r="V7" s="10" t="s">
        <v>118</v>
      </c>
      <c r="W7" s="10"/>
      <c r="X7" s="10"/>
      <c r="Y7" s="10"/>
      <c r="Z7" s="10"/>
      <c r="AA7" s="10" t="s">
        <v>119</v>
      </c>
      <c r="AB7" s="10"/>
      <c r="AC7" s="10"/>
      <c r="AD7" s="10"/>
      <c r="AE7" s="10"/>
      <c r="AF7" s="10" t="s">
        <v>41</v>
      </c>
      <c r="AG7" s="10"/>
      <c r="AH7" s="10"/>
      <c r="AI7" s="10"/>
      <c r="AJ7" s="10"/>
    </row>
    <row r="8" s="1" customFormat="1" ht="60" customHeight="1" spans="1:36">
      <c r="A8" s="69"/>
      <c r="B8" s="72"/>
      <c r="C8" s="72"/>
      <c r="D8" s="72"/>
      <c r="E8" s="72"/>
      <c r="F8" s="431"/>
      <c r="G8" s="428" t="s">
        <v>11</v>
      </c>
      <c r="H8" s="14" t="s">
        <v>120</v>
      </c>
      <c r="I8" s="14"/>
      <c r="J8" s="14"/>
      <c r="K8" s="14"/>
      <c r="L8" s="13" t="s">
        <v>13</v>
      </c>
      <c r="M8" s="39">
        <v>1</v>
      </c>
      <c r="N8" s="30">
        <v>0</v>
      </c>
      <c r="O8" s="13" t="s">
        <v>14</v>
      </c>
      <c r="P8" s="31" t="s">
        <v>44</v>
      </c>
      <c r="Q8" s="13" t="s">
        <v>13</v>
      </c>
      <c r="R8" s="39">
        <v>1</v>
      </c>
      <c r="S8" s="30">
        <v>0</v>
      </c>
      <c r="T8" s="13" t="s">
        <v>14</v>
      </c>
      <c r="U8" s="31" t="s">
        <v>44</v>
      </c>
      <c r="V8" s="13" t="s">
        <v>13</v>
      </c>
      <c r="W8" s="29">
        <v>0</v>
      </c>
      <c r="X8" s="35">
        <v>1</v>
      </c>
      <c r="Y8" s="13" t="s">
        <v>14</v>
      </c>
      <c r="Z8" s="31" t="s">
        <v>45</v>
      </c>
      <c r="AA8" s="13" t="s">
        <v>13</v>
      </c>
      <c r="AB8" s="29">
        <v>0</v>
      </c>
      <c r="AC8" s="35">
        <v>1</v>
      </c>
      <c r="AD8" s="13" t="s">
        <v>14</v>
      </c>
      <c r="AE8" s="31" t="s">
        <v>45</v>
      </c>
      <c r="AF8" s="13" t="s">
        <v>16</v>
      </c>
      <c r="AG8" s="49" t="s">
        <v>121</v>
      </c>
      <c r="AH8" s="49"/>
      <c r="AI8" s="49"/>
      <c r="AJ8" s="49"/>
    </row>
    <row r="9" s="1" customFormat="1" ht="60" customHeight="1" spans="1:36">
      <c r="A9" s="69"/>
      <c r="B9" s="72"/>
      <c r="C9" s="72"/>
      <c r="D9" s="72"/>
      <c r="E9" s="72"/>
      <c r="F9" s="431"/>
      <c r="G9" s="428" t="s">
        <v>18</v>
      </c>
      <c r="H9" s="15" t="s">
        <v>122</v>
      </c>
      <c r="I9" s="15"/>
      <c r="J9" s="15"/>
      <c r="K9" s="15"/>
      <c r="L9" s="13" t="s">
        <v>20</v>
      </c>
      <c r="M9" s="32">
        <v>2</v>
      </c>
      <c r="N9" s="33">
        <v>0</v>
      </c>
      <c r="O9" s="13" t="s">
        <v>21</v>
      </c>
      <c r="P9" s="31" t="s">
        <v>22</v>
      </c>
      <c r="Q9" s="13" t="s">
        <v>20</v>
      </c>
      <c r="R9" s="32">
        <v>4</v>
      </c>
      <c r="S9" s="33">
        <v>0</v>
      </c>
      <c r="T9" s="13" t="s">
        <v>21</v>
      </c>
      <c r="U9" s="31" t="s">
        <v>22</v>
      </c>
      <c r="V9" s="13" t="s">
        <v>20</v>
      </c>
      <c r="W9" s="43">
        <v>0</v>
      </c>
      <c r="X9" s="36">
        <v>1</v>
      </c>
      <c r="Y9" s="13" t="s">
        <v>21</v>
      </c>
      <c r="Z9" s="31" t="s">
        <v>45</v>
      </c>
      <c r="AA9" s="13" t="s">
        <v>20</v>
      </c>
      <c r="AB9" s="32">
        <v>2</v>
      </c>
      <c r="AC9" s="36">
        <v>1</v>
      </c>
      <c r="AD9" s="13" t="s">
        <v>21</v>
      </c>
      <c r="AE9" s="31" t="s">
        <v>45</v>
      </c>
      <c r="AF9" s="13" t="s">
        <v>24</v>
      </c>
      <c r="AG9" s="50" t="s">
        <v>123</v>
      </c>
      <c r="AH9" s="50"/>
      <c r="AI9" s="50"/>
      <c r="AJ9" s="50"/>
    </row>
    <row r="10" s="1" customFormat="1" ht="61.5" customHeight="1" spans="1:36">
      <c r="A10" s="69" t="s">
        <v>49</v>
      </c>
      <c r="B10" s="70" t="s">
        <v>124</v>
      </c>
      <c r="C10" s="71"/>
      <c r="D10" s="71"/>
      <c r="E10" s="71"/>
      <c r="F10" s="431"/>
      <c r="G10" s="428"/>
      <c r="H10" s="15"/>
      <c r="I10" s="15"/>
      <c r="J10" s="15"/>
      <c r="K10" s="15"/>
      <c r="L10" s="440" t="s">
        <v>28</v>
      </c>
      <c r="M10" s="493" t="s">
        <v>125</v>
      </c>
      <c r="N10" s="493"/>
      <c r="O10" s="493"/>
      <c r="P10" s="493"/>
      <c r="Q10" s="440" t="s">
        <v>28</v>
      </c>
      <c r="R10" s="446" t="s">
        <v>126</v>
      </c>
      <c r="S10" s="446"/>
      <c r="T10" s="446"/>
      <c r="U10" s="446"/>
      <c r="V10" s="440" t="s">
        <v>28</v>
      </c>
      <c r="W10" s="441" t="s">
        <v>127</v>
      </c>
      <c r="X10" s="441"/>
      <c r="Y10" s="441"/>
      <c r="Z10" s="441"/>
      <c r="AA10" s="440" t="s">
        <v>28</v>
      </c>
      <c r="AB10" s="446" t="s">
        <v>128</v>
      </c>
      <c r="AC10" s="446"/>
      <c r="AD10" s="446"/>
      <c r="AE10" s="446"/>
      <c r="AF10" s="13"/>
      <c r="AG10" s="50"/>
      <c r="AH10" s="50"/>
      <c r="AI10" s="50"/>
      <c r="AJ10" s="50"/>
    </row>
    <row r="11" s="1" customFormat="1" ht="21.5" customHeight="1" spans="1:36">
      <c r="A11" s="78"/>
      <c r="B11" s="78"/>
      <c r="C11" s="78"/>
      <c r="D11" s="78"/>
      <c r="E11" s="78"/>
      <c r="F11" s="432" t="s">
        <v>55</v>
      </c>
      <c r="G11" s="427" t="s">
        <v>56</v>
      </c>
      <c r="H11" s="427"/>
      <c r="I11" s="427"/>
      <c r="J11" s="427"/>
      <c r="K11" s="427"/>
      <c r="L11" s="10" t="s">
        <v>129</v>
      </c>
      <c r="M11" s="10"/>
      <c r="N11" s="10"/>
      <c r="O11" s="10"/>
      <c r="P11" s="10"/>
      <c r="Q11" s="10" t="s">
        <v>130</v>
      </c>
      <c r="R11" s="10"/>
      <c r="S11" s="10"/>
      <c r="T11" s="10"/>
      <c r="U11" s="10"/>
      <c r="V11" s="10" t="s">
        <v>131</v>
      </c>
      <c r="W11" s="10"/>
      <c r="X11" s="10"/>
      <c r="Y11" s="10"/>
      <c r="Z11" s="10"/>
      <c r="AA11" s="10" t="s">
        <v>132</v>
      </c>
      <c r="AB11" s="10"/>
      <c r="AC11" s="10"/>
      <c r="AD11" s="10"/>
      <c r="AE11" s="10"/>
      <c r="AF11" s="10" t="s">
        <v>61</v>
      </c>
      <c r="AG11" s="10"/>
      <c r="AH11" s="10"/>
      <c r="AI11" s="10"/>
      <c r="AJ11" s="10"/>
    </row>
    <row r="12" s="1" customFormat="1" ht="60.75" customHeight="1" spans="1:36">
      <c r="A12" s="79" t="s">
        <v>62</v>
      </c>
      <c r="B12" s="80" t="str">
        <f>_xlfn.DISPIMG("ID_316A60CA24274AFB94C6E5C6072F0571",1)</f>
        <v>=DISPIMG("ID_316A60CA24274AFB94C6E5C6072F0571",1)</v>
      </c>
      <c r="C12" s="80"/>
      <c r="D12" s="80"/>
      <c r="E12" s="80"/>
      <c r="F12" s="432"/>
      <c r="G12" s="428" t="s">
        <v>11</v>
      </c>
      <c r="H12" s="14" t="s">
        <v>133</v>
      </c>
      <c r="I12" s="14"/>
      <c r="J12" s="14"/>
      <c r="K12" s="14"/>
      <c r="L12" s="13" t="s">
        <v>13</v>
      </c>
      <c r="M12" s="39">
        <v>1</v>
      </c>
      <c r="N12" s="35">
        <v>1</v>
      </c>
      <c r="O12" s="13" t="s">
        <v>14</v>
      </c>
      <c r="P12" s="31" t="s">
        <v>45</v>
      </c>
      <c r="Q12" s="13" t="s">
        <v>13</v>
      </c>
      <c r="R12" s="29">
        <v>0</v>
      </c>
      <c r="S12" s="35">
        <v>1</v>
      </c>
      <c r="T12" s="13" t="s">
        <v>14</v>
      </c>
      <c r="U12" s="31" t="s">
        <v>44</v>
      </c>
      <c r="V12" s="13" t="s">
        <v>13</v>
      </c>
      <c r="W12" s="39">
        <v>1</v>
      </c>
      <c r="X12" s="30">
        <v>0</v>
      </c>
      <c r="Y12" s="13" t="s">
        <v>14</v>
      </c>
      <c r="Z12" s="31" t="s">
        <v>45</v>
      </c>
      <c r="AA12" s="13" t="s">
        <v>13</v>
      </c>
      <c r="AB12" s="29">
        <v>0</v>
      </c>
      <c r="AC12" s="30">
        <v>0</v>
      </c>
      <c r="AD12" s="13" t="s">
        <v>14</v>
      </c>
      <c r="AE12" s="31" t="s">
        <v>44</v>
      </c>
      <c r="AF12" s="13" t="s">
        <v>16</v>
      </c>
      <c r="AG12" s="47" t="s">
        <v>134</v>
      </c>
      <c r="AH12" s="47"/>
      <c r="AI12" s="47"/>
      <c r="AJ12" s="47"/>
    </row>
    <row r="13" s="1" customFormat="1" ht="60.75" customHeight="1" spans="1:36">
      <c r="A13" s="82"/>
      <c r="B13" s="80"/>
      <c r="C13" s="80"/>
      <c r="D13" s="80"/>
      <c r="E13" s="80"/>
      <c r="F13" s="432"/>
      <c r="G13" s="428" t="s">
        <v>18</v>
      </c>
      <c r="H13" s="15" t="s">
        <v>135</v>
      </c>
      <c r="I13" s="15"/>
      <c r="J13" s="15"/>
      <c r="K13" s="15"/>
      <c r="L13" s="13" t="s">
        <v>20</v>
      </c>
      <c r="M13" s="32">
        <v>9</v>
      </c>
      <c r="N13" s="36">
        <v>3</v>
      </c>
      <c r="O13" s="13" t="s">
        <v>21</v>
      </c>
      <c r="P13" s="31" t="s">
        <v>45</v>
      </c>
      <c r="Q13" s="13" t="s">
        <v>20</v>
      </c>
      <c r="R13" s="32">
        <v>1</v>
      </c>
      <c r="S13" s="33">
        <v>0</v>
      </c>
      <c r="T13" s="13" t="s">
        <v>21</v>
      </c>
      <c r="U13" s="31" t="s">
        <v>22</v>
      </c>
      <c r="V13" s="13" t="s">
        <v>20</v>
      </c>
      <c r="W13" s="32">
        <v>11</v>
      </c>
      <c r="X13" s="36">
        <v>2</v>
      </c>
      <c r="Y13" s="13" t="s">
        <v>21</v>
      </c>
      <c r="Z13" s="31" t="s">
        <v>45</v>
      </c>
      <c r="AA13" s="13" t="s">
        <v>20</v>
      </c>
      <c r="AB13" s="32">
        <v>1</v>
      </c>
      <c r="AC13" s="33">
        <v>0</v>
      </c>
      <c r="AD13" s="13" t="s">
        <v>21</v>
      </c>
      <c r="AE13" s="31" t="s">
        <v>22</v>
      </c>
      <c r="AF13" s="13" t="s">
        <v>24</v>
      </c>
      <c r="AG13" s="51" t="s">
        <v>136</v>
      </c>
      <c r="AH13" s="51"/>
      <c r="AI13" s="51"/>
      <c r="AJ13" s="51"/>
    </row>
    <row r="14" s="1" customFormat="1" ht="66.75" customHeight="1" spans="1:36">
      <c r="A14" s="82"/>
      <c r="B14" s="80"/>
      <c r="C14" s="80"/>
      <c r="D14" s="80"/>
      <c r="E14" s="80"/>
      <c r="F14" s="432"/>
      <c r="G14" s="428"/>
      <c r="H14" s="15"/>
      <c r="I14" s="15"/>
      <c r="J14" s="15"/>
      <c r="K14" s="15"/>
      <c r="L14" s="440" t="s">
        <v>28</v>
      </c>
      <c r="M14" s="442" t="s">
        <v>137</v>
      </c>
      <c r="N14" s="442"/>
      <c r="O14" s="442"/>
      <c r="P14" s="442"/>
      <c r="Q14" s="440" t="s">
        <v>28</v>
      </c>
      <c r="R14" s="442" t="s">
        <v>138</v>
      </c>
      <c r="S14" s="442"/>
      <c r="T14" s="442"/>
      <c r="U14" s="442"/>
      <c r="V14" s="440" t="s">
        <v>28</v>
      </c>
      <c r="W14" s="446" t="s">
        <v>139</v>
      </c>
      <c r="X14" s="446"/>
      <c r="Y14" s="446"/>
      <c r="Z14" s="446"/>
      <c r="AA14" s="440" t="s">
        <v>28</v>
      </c>
      <c r="AB14" s="497" t="s">
        <v>140</v>
      </c>
      <c r="AC14" s="497"/>
      <c r="AD14" s="497"/>
      <c r="AE14" s="497"/>
      <c r="AF14" s="13"/>
      <c r="AG14" s="51"/>
      <c r="AH14" s="51"/>
      <c r="AI14" s="51"/>
      <c r="AJ14" s="51"/>
    </row>
    <row r="15" s="1" customFormat="1" ht="21.5" customHeight="1" spans="1:36">
      <c r="A15" s="83"/>
      <c r="B15" s="83"/>
      <c r="C15" s="83"/>
      <c r="D15" s="83"/>
      <c r="E15" s="83"/>
      <c r="F15" s="435" t="s">
        <v>77</v>
      </c>
      <c r="G15" s="427" t="s">
        <v>141</v>
      </c>
      <c r="H15" s="427"/>
      <c r="I15" s="427"/>
      <c r="J15" s="427"/>
      <c r="K15" s="427"/>
      <c r="L15" s="10" t="s">
        <v>142</v>
      </c>
      <c r="M15" s="10"/>
      <c r="N15" s="10"/>
      <c r="O15" s="10"/>
      <c r="P15" s="10"/>
      <c r="Q15" s="10" t="s">
        <v>143</v>
      </c>
      <c r="R15" s="10"/>
      <c r="S15" s="10"/>
      <c r="T15" s="10"/>
      <c r="U15" s="10"/>
      <c r="V15" s="10" t="s">
        <v>144</v>
      </c>
      <c r="W15" s="10"/>
      <c r="X15" s="10"/>
      <c r="Y15" s="10"/>
      <c r="Z15" s="10"/>
      <c r="AA15" s="10" t="s">
        <v>145</v>
      </c>
      <c r="AB15" s="10"/>
      <c r="AC15" s="10"/>
      <c r="AD15" s="10"/>
      <c r="AE15" s="10"/>
      <c r="AF15" s="10" t="s">
        <v>146</v>
      </c>
      <c r="AG15" s="10"/>
      <c r="AH15" s="10"/>
      <c r="AI15" s="10"/>
      <c r="AJ15" s="10"/>
    </row>
    <row r="16" s="1" customFormat="1" ht="61.5" customHeight="1" spans="1:36">
      <c r="A16" s="85" t="s">
        <v>83</v>
      </c>
      <c r="B16" s="86" t="s">
        <v>84</v>
      </c>
      <c r="C16" s="87"/>
      <c r="D16" s="87"/>
      <c r="E16" s="87"/>
      <c r="F16" s="435"/>
      <c r="G16" s="428" t="s">
        <v>16</v>
      </c>
      <c r="H16" s="22" t="s">
        <v>147</v>
      </c>
      <c r="I16" s="22"/>
      <c r="J16" s="22"/>
      <c r="K16" s="22"/>
      <c r="L16" s="13" t="s">
        <v>13</v>
      </c>
      <c r="M16" s="39">
        <v>1</v>
      </c>
      <c r="N16" s="30">
        <v>0</v>
      </c>
      <c r="O16" s="13" t="s">
        <v>14</v>
      </c>
      <c r="P16" s="31" t="s">
        <v>45</v>
      </c>
      <c r="Q16" s="13" t="s">
        <v>13</v>
      </c>
      <c r="R16" s="39">
        <v>1</v>
      </c>
      <c r="S16" s="30">
        <v>0</v>
      </c>
      <c r="T16" s="13" t="s">
        <v>14</v>
      </c>
      <c r="U16" s="31" t="s">
        <v>44</v>
      </c>
      <c r="V16" s="13" t="s">
        <v>13</v>
      </c>
      <c r="W16" s="29">
        <v>0</v>
      </c>
      <c r="X16" s="30">
        <v>0</v>
      </c>
      <c r="Y16" s="13" t="s">
        <v>14</v>
      </c>
      <c r="Z16" s="31" t="s">
        <v>44</v>
      </c>
      <c r="AA16" s="13" t="s">
        <v>13</v>
      </c>
      <c r="AB16" s="29">
        <v>0</v>
      </c>
      <c r="AC16" s="30">
        <v>0</v>
      </c>
      <c r="AD16" s="13" t="s">
        <v>14</v>
      </c>
      <c r="AE16" s="31" t="s">
        <v>44</v>
      </c>
      <c r="AF16" s="13" t="s">
        <v>16</v>
      </c>
      <c r="AG16" s="47" t="s">
        <v>148</v>
      </c>
      <c r="AH16" s="47"/>
      <c r="AI16" s="47"/>
      <c r="AJ16" s="47"/>
    </row>
    <row r="17" s="1" customFormat="1" ht="60" customHeight="1" spans="1:36">
      <c r="A17" s="85" t="s">
        <v>87</v>
      </c>
      <c r="B17" s="86" t="s">
        <v>88</v>
      </c>
      <c r="C17" s="87"/>
      <c r="D17" s="87"/>
      <c r="E17" s="87"/>
      <c r="F17" s="435"/>
      <c r="G17" s="428" t="s">
        <v>28</v>
      </c>
      <c r="H17" s="23" t="s">
        <v>149</v>
      </c>
      <c r="I17" s="23"/>
      <c r="J17" s="23"/>
      <c r="K17" s="23"/>
      <c r="L17" s="13" t="s">
        <v>20</v>
      </c>
      <c r="M17" s="32">
        <v>4</v>
      </c>
      <c r="N17" s="36">
        <v>2</v>
      </c>
      <c r="O17" s="13" t="s">
        <v>21</v>
      </c>
      <c r="P17" s="31" t="s">
        <v>45</v>
      </c>
      <c r="Q17" s="13" t="s">
        <v>20</v>
      </c>
      <c r="R17" s="32">
        <v>6</v>
      </c>
      <c r="S17" s="36">
        <v>3</v>
      </c>
      <c r="T17" s="13" t="s">
        <v>21</v>
      </c>
      <c r="U17" s="31" t="s">
        <v>22</v>
      </c>
      <c r="V17" s="13" t="s">
        <v>20</v>
      </c>
      <c r="W17" s="32">
        <v>8</v>
      </c>
      <c r="X17" s="36">
        <v>1</v>
      </c>
      <c r="Y17" s="13" t="s">
        <v>21</v>
      </c>
      <c r="Z17" s="31" t="s">
        <v>22</v>
      </c>
      <c r="AA17" s="13" t="s">
        <v>20</v>
      </c>
      <c r="AB17" s="32">
        <v>5</v>
      </c>
      <c r="AC17" s="36">
        <v>1</v>
      </c>
      <c r="AD17" s="13" t="s">
        <v>21</v>
      </c>
      <c r="AE17" s="31" t="s">
        <v>22</v>
      </c>
      <c r="AF17" s="13" t="s">
        <v>24</v>
      </c>
      <c r="AG17" s="51" t="s">
        <v>150</v>
      </c>
      <c r="AH17" s="51"/>
      <c r="AI17" s="51"/>
      <c r="AJ17" s="51"/>
    </row>
    <row r="18" s="1" customFormat="1" ht="60" customHeight="1" spans="1:36">
      <c r="A18" s="90" t="s">
        <v>151</v>
      </c>
      <c r="B18" s="91" t="s">
        <v>93</v>
      </c>
      <c r="C18" s="92"/>
      <c r="D18" s="92"/>
      <c r="E18" s="92"/>
      <c r="F18" s="435"/>
      <c r="G18" s="428"/>
      <c r="H18" s="23"/>
      <c r="I18" s="23"/>
      <c r="J18" s="23"/>
      <c r="K18" s="23"/>
      <c r="L18" s="443" t="s">
        <v>28</v>
      </c>
      <c r="M18" s="494" t="s">
        <v>152</v>
      </c>
      <c r="N18" s="494"/>
      <c r="O18" s="494"/>
      <c r="P18" s="494"/>
      <c r="Q18" s="443" t="s">
        <v>28</v>
      </c>
      <c r="R18" s="494" t="s">
        <v>153</v>
      </c>
      <c r="S18" s="494"/>
      <c r="T18" s="494"/>
      <c r="U18" s="494"/>
      <c r="V18" s="440" t="s">
        <v>28</v>
      </c>
      <c r="W18" s="496" t="s">
        <v>154</v>
      </c>
      <c r="X18" s="496"/>
      <c r="Y18" s="496"/>
      <c r="Z18" s="496"/>
      <c r="AA18" s="443" t="s">
        <v>28</v>
      </c>
      <c r="AB18" s="496" t="s">
        <v>155</v>
      </c>
      <c r="AC18" s="496"/>
      <c r="AD18" s="496"/>
      <c r="AE18" s="496"/>
      <c r="AF18" s="13"/>
      <c r="AG18" s="51"/>
      <c r="AH18" s="51"/>
      <c r="AI18" s="51"/>
      <c r="AJ18" s="51"/>
    </row>
    <row r="47" spans="18:18">
      <c r="R47"/>
    </row>
  </sheetData>
  <sheetProtection selectLockedCells="1" formatCells="0" formatColumns="0" formatRows="0" insertRows="0" insertColumns="0" insertHyperlinks="0" deleteColumns="0" deleteRows="0" sort="0" autoFilter="0" pivotTables="0"/>
  <mergeCells count="86">
    <mergeCell ref="B1:C1"/>
    <mergeCell ref="D1:E1"/>
    <mergeCell ref="L1:P1"/>
    <mergeCell ref="Q1:U1"/>
    <mergeCell ref="V1:Z1"/>
    <mergeCell ref="AA1:AE1"/>
    <mergeCell ref="AF1:AJ1"/>
    <mergeCell ref="G3:K3"/>
    <mergeCell ref="L3:P3"/>
    <mergeCell ref="Q3:U3"/>
    <mergeCell ref="V3:Z3"/>
    <mergeCell ref="AA3:AE3"/>
    <mergeCell ref="AF3:AJ3"/>
    <mergeCell ref="H4:K4"/>
    <mergeCell ref="AG4:AJ4"/>
    <mergeCell ref="B6:E6"/>
    <mergeCell ref="M6:P6"/>
    <mergeCell ref="R6:U6"/>
    <mergeCell ref="W6:Z6"/>
    <mergeCell ref="AB6:AE6"/>
    <mergeCell ref="G7:K7"/>
    <mergeCell ref="L7:P7"/>
    <mergeCell ref="Q7:U7"/>
    <mergeCell ref="V7:Z7"/>
    <mergeCell ref="AA7:AE7"/>
    <mergeCell ref="AF7:AJ7"/>
    <mergeCell ref="H8:K8"/>
    <mergeCell ref="AG8:AJ8"/>
    <mergeCell ref="B10:E10"/>
    <mergeCell ref="M10:P10"/>
    <mergeCell ref="R10:U10"/>
    <mergeCell ref="W10:Z10"/>
    <mergeCell ref="AB10:AE10"/>
    <mergeCell ref="G11:K11"/>
    <mergeCell ref="L11:P11"/>
    <mergeCell ref="Q11:U11"/>
    <mergeCell ref="V11:Z11"/>
    <mergeCell ref="AA11:AE11"/>
    <mergeCell ref="AF11:AJ11"/>
    <mergeCell ref="H12:K12"/>
    <mergeCell ref="AG12:AJ12"/>
    <mergeCell ref="M14:P14"/>
    <mergeCell ref="R14:U14"/>
    <mergeCell ref="W14:Z14"/>
    <mergeCell ref="AB14:AE14"/>
    <mergeCell ref="G15:K15"/>
    <mergeCell ref="L15:P15"/>
    <mergeCell ref="Q15:U15"/>
    <mergeCell ref="V15:Z15"/>
    <mergeCell ref="AA15:AE15"/>
    <mergeCell ref="AF15:AJ15"/>
    <mergeCell ref="B16:E16"/>
    <mergeCell ref="H16:K16"/>
    <mergeCell ref="AG16:AJ16"/>
    <mergeCell ref="B17:E17"/>
    <mergeCell ref="B18:E18"/>
    <mergeCell ref="M18:P18"/>
    <mergeCell ref="R18:U18"/>
    <mergeCell ref="W18:Z18"/>
    <mergeCell ref="AB18:AE18"/>
    <mergeCell ref="A7:A9"/>
    <mergeCell ref="A12:A14"/>
    <mergeCell ref="F3:F6"/>
    <mergeCell ref="F7:F10"/>
    <mergeCell ref="F11:F14"/>
    <mergeCell ref="F15:F18"/>
    <mergeCell ref="G5:G6"/>
    <mergeCell ref="G9:G10"/>
    <mergeCell ref="G13:G14"/>
    <mergeCell ref="G17:G18"/>
    <mergeCell ref="AF5:AF6"/>
    <mergeCell ref="AF9:AF10"/>
    <mergeCell ref="AF13:AF14"/>
    <mergeCell ref="AF17:AF18"/>
    <mergeCell ref="A4:B5"/>
    <mergeCell ref="C4:E5"/>
    <mergeCell ref="B7:E9"/>
    <mergeCell ref="B12:E14"/>
    <mergeCell ref="H5:K6"/>
    <mergeCell ref="AG5:AJ6"/>
    <mergeCell ref="H9:K10"/>
    <mergeCell ref="AG9:AJ10"/>
    <mergeCell ref="H13:K14"/>
    <mergeCell ref="AG13:AJ14"/>
    <mergeCell ref="H17:K18"/>
    <mergeCell ref="AG17:AJ18"/>
  </mergeCells>
  <conditionalFormatting sqref="AB16">
    <cfRule type="cellIs" dxfId="0" priority="1" operator="equal">
      <formula>0</formula>
    </cfRule>
  </conditionalFormatting>
  <conditionalFormatting sqref="AC16">
    <cfRule type="cellIs" dxfId="0" priority="2" operator="equal">
      <formula>0</formula>
    </cfRule>
  </conditionalFormatting>
  <conditionalFormatting sqref="M4:N5 R8:S9 M12:N13 M8:N9 W16:X17 R4:S5 R12:S13 R16:S17 AB8:AC9 AB12:AC13 AB4:AC5">
    <cfRule type="cellIs" dxfId="1" priority="7" operator="equal">
      <formula>0</formula>
    </cfRule>
  </conditionalFormatting>
  <conditionalFormatting sqref="M4 M8 W8 W12 W16 M12 R8 R12 W4 R4 R16 AB8 AB4 AB12">
    <cfRule type="cellIs" dxfId="0" priority="4" operator="equal">
      <formula>0</formula>
    </cfRule>
  </conditionalFormatting>
  <conditionalFormatting sqref="N4 S4 N8 X8 X12 S16 S8 X16 S12 N12 X4 AC8 AC4 AC12">
    <cfRule type="cellIs" dxfId="0" priority="5" operator="equal">
      <formula>0</formula>
    </cfRule>
  </conditionalFormatting>
  <conditionalFormatting sqref="W12:X13 W8:X9 W4:X5">
    <cfRule type="cellIs" dxfId="1" priority="6" operator="equal">
      <formula>0</formula>
    </cfRule>
  </conditionalFormatting>
  <conditionalFormatting sqref="AB16:AC17">
    <cfRule type="cellIs" dxfId="1" priority="3" operator="equal">
      <formula>0</formula>
    </cfRule>
  </conditionalFormatting>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25"/>
  </sheetPr>
  <dimension ref="A1:AJ43"/>
  <sheetViews>
    <sheetView showGridLines="0" zoomScale="85" zoomScaleNormal="85" topLeftCell="G5" workbookViewId="0">
      <selection activeCell="A1" sqref="A1"/>
    </sheetView>
  </sheetViews>
  <sheetFormatPr defaultColWidth="8.89090909090909" defaultRowHeight="16.5"/>
  <cols>
    <col min="1" max="1" width="9.14545454545454" style="1" customWidth="1"/>
    <col min="2" max="4" width="8.89090909090909" style="1"/>
    <col min="5" max="5" width="9.83636363636364" style="1" customWidth="1"/>
    <col min="6" max="6" width="4.34545454545455" style="1" customWidth="1"/>
    <col min="7" max="7" width="5.71818181818182" style="1" customWidth="1"/>
    <col min="8" max="8" width="8.89090909090909" style="1"/>
    <col min="9" max="9" width="9.83636363636364" style="1" customWidth="1"/>
    <col min="10" max="10" width="6.97272727272727" style="1" customWidth="1"/>
    <col min="11" max="11" width="8.89090909090909" style="1"/>
    <col min="12" max="12" width="5.77272727272727" style="1" customWidth="1"/>
    <col min="13" max="14" width="8.77272727272727" style="1" customWidth="1"/>
    <col min="15" max="15" width="5.77272727272727" style="1" customWidth="1"/>
    <col min="16" max="16" width="16.8272727272727" style="1" customWidth="1"/>
    <col min="17" max="17" width="5.77272727272727" style="1" customWidth="1"/>
    <col min="18" max="19" width="8.77272727272727" style="1" customWidth="1"/>
    <col min="20" max="20" width="5.77272727272727" style="1" customWidth="1"/>
    <col min="21" max="21" width="14.7727272727273" style="1" customWidth="1"/>
    <col min="22" max="22" width="5.77272727272727" style="1" customWidth="1"/>
    <col min="23" max="24" width="8.77272727272727" style="1" customWidth="1"/>
    <col min="25" max="25" width="5.77272727272727" style="1" customWidth="1"/>
    <col min="26" max="26" width="14.7727272727273" style="1" customWidth="1"/>
    <col min="27" max="27" width="5.77272727272727" style="1" customWidth="1"/>
    <col min="28" max="29" width="8.77272727272727" style="1" customWidth="1"/>
    <col min="30" max="30" width="5.77272727272727" style="1" customWidth="1"/>
    <col min="31" max="31" width="14.7727272727273" style="1" customWidth="1"/>
    <col min="32" max="32" width="5.71818181818182" style="1" customWidth="1"/>
    <col min="33" max="16384" width="8.89090909090909" style="1"/>
  </cols>
  <sheetData>
    <row r="1" ht="61" customHeight="1" spans="1:31">
      <c r="A1" s="53" t="str">
        <f>_xlfn.DISPIMG("ID_B47122EA52C94B5995CA8EC5B734ADF9",1)</f>
        <v>=DISPIMG("ID_B47122EA52C94B5995CA8EC5B734ADF9",1)</v>
      </c>
      <c r="B1" s="54" t="s">
        <v>0</v>
      </c>
      <c r="C1" s="54"/>
      <c r="D1" s="55" t="s">
        <v>1</v>
      </c>
      <c r="E1" s="56"/>
      <c r="F1" s="5"/>
      <c r="L1" s="109"/>
      <c r="M1" s="5"/>
      <c r="N1" s="5"/>
      <c r="O1" s="5"/>
      <c r="P1" s="5"/>
      <c r="Q1" s="109"/>
      <c r="R1" s="5"/>
      <c r="S1" s="5"/>
      <c r="T1" s="5"/>
      <c r="U1" s="5"/>
      <c r="V1" s="109"/>
      <c r="W1" s="5"/>
      <c r="X1" s="5"/>
      <c r="Y1" s="5"/>
      <c r="Z1" s="5"/>
      <c r="AA1" s="109"/>
      <c r="AB1" s="5"/>
      <c r="AC1" s="5"/>
      <c r="AD1" s="5"/>
      <c r="AE1" s="5"/>
    </row>
    <row r="2" ht="12" customHeight="1" spans="1:31">
      <c r="A2" s="58"/>
      <c r="B2" s="58"/>
      <c r="C2" s="58"/>
      <c r="D2" s="58"/>
      <c r="E2" s="58"/>
      <c r="F2" s="59"/>
      <c r="L2" s="97"/>
      <c r="M2" s="59"/>
      <c r="N2" s="59"/>
      <c r="O2" s="59"/>
      <c r="P2" s="59"/>
      <c r="Q2" s="97"/>
      <c r="R2" s="59"/>
      <c r="S2" s="59"/>
      <c r="T2" s="59"/>
      <c r="U2" s="59"/>
      <c r="V2" s="97"/>
      <c r="W2" s="59"/>
      <c r="X2" s="59"/>
      <c r="Y2" s="59"/>
      <c r="Z2" s="59"/>
      <c r="AA2" s="97"/>
      <c r="AB2" s="59"/>
      <c r="AC2" s="59"/>
      <c r="AD2" s="59"/>
      <c r="AE2" s="59"/>
    </row>
    <row r="3" ht="15" customHeight="1" spans="1:36">
      <c r="A3" s="58"/>
      <c r="B3" s="58"/>
      <c r="C3" s="58"/>
      <c r="D3" s="58"/>
      <c r="E3" s="58"/>
      <c r="F3" s="60" t="s">
        <v>3</v>
      </c>
      <c r="G3" s="61" t="s">
        <v>4</v>
      </c>
      <c r="H3" s="61"/>
      <c r="I3" s="61"/>
      <c r="J3" s="61"/>
      <c r="K3" s="61"/>
      <c r="L3" s="61" t="s">
        <v>156</v>
      </c>
      <c r="M3" s="61"/>
      <c r="N3" s="61"/>
      <c r="O3" s="61"/>
      <c r="P3" s="61"/>
      <c r="Q3" s="61" t="s">
        <v>157</v>
      </c>
      <c r="R3" s="61"/>
      <c r="S3" s="61"/>
      <c r="T3" s="61"/>
      <c r="U3" s="61"/>
      <c r="V3" s="61" t="s">
        <v>158</v>
      </c>
      <c r="W3" s="61"/>
      <c r="X3" s="61"/>
      <c r="Y3" s="61"/>
      <c r="Z3" s="61"/>
      <c r="AA3" s="61" t="s">
        <v>60</v>
      </c>
      <c r="AB3" s="61"/>
      <c r="AC3" s="61"/>
      <c r="AD3" s="61"/>
      <c r="AE3" s="61"/>
      <c r="AF3" s="61" t="s">
        <v>9</v>
      </c>
      <c r="AG3" s="61"/>
      <c r="AH3" s="61"/>
      <c r="AI3" s="61"/>
      <c r="AJ3" s="115"/>
    </row>
    <row r="4" ht="48" customHeight="1" spans="1:36">
      <c r="A4" s="62" t="str">
        <f>_xlfn.DISPIMG("ID_1B0E4F6251AE402BA151B0200FFC6623",1)</f>
        <v>=DISPIMG("ID_1B0E4F6251AE402BA151B0200FFC6623",1)</v>
      </c>
      <c r="B4" s="62"/>
      <c r="C4" s="63" t="s">
        <v>159</v>
      </c>
      <c r="D4" s="64"/>
      <c r="E4" s="64"/>
      <c r="F4" s="65"/>
      <c r="G4" s="66" t="s">
        <v>11</v>
      </c>
      <c r="H4" s="471" t="s">
        <v>160</v>
      </c>
      <c r="I4" s="471"/>
      <c r="J4" s="471"/>
      <c r="K4" s="471"/>
      <c r="L4" s="66" t="s">
        <v>13</v>
      </c>
      <c r="M4" s="98">
        <v>1</v>
      </c>
      <c r="N4" s="99">
        <v>0</v>
      </c>
      <c r="O4" s="66" t="s">
        <v>14</v>
      </c>
      <c r="P4" s="100" t="s">
        <v>44</v>
      </c>
      <c r="Q4" s="66" t="s">
        <v>13</v>
      </c>
      <c r="R4" s="98">
        <v>0</v>
      </c>
      <c r="S4" s="99">
        <v>1</v>
      </c>
      <c r="T4" s="66" t="s">
        <v>14</v>
      </c>
      <c r="U4" s="100" t="s">
        <v>44</v>
      </c>
      <c r="V4" s="66" t="s">
        <v>13</v>
      </c>
      <c r="W4" s="98">
        <v>0</v>
      </c>
      <c r="X4" s="99">
        <v>1</v>
      </c>
      <c r="Y4" s="66" t="s">
        <v>14</v>
      </c>
      <c r="Z4" s="100" t="s">
        <v>161</v>
      </c>
      <c r="AA4" s="66" t="s">
        <v>13</v>
      </c>
      <c r="AB4" s="98">
        <v>1</v>
      </c>
      <c r="AC4" s="99">
        <v>1</v>
      </c>
      <c r="AD4" s="66" t="s">
        <v>14</v>
      </c>
      <c r="AE4" s="100" t="s">
        <v>44</v>
      </c>
      <c r="AF4" s="66" t="s">
        <v>16</v>
      </c>
      <c r="AG4" s="159" t="s">
        <v>162</v>
      </c>
      <c r="AH4" s="159"/>
      <c r="AI4" s="159"/>
      <c r="AJ4" s="160"/>
    </row>
    <row r="5" ht="48" customHeight="1" spans="1:36">
      <c r="A5" s="62"/>
      <c r="B5" s="62"/>
      <c r="C5" s="64"/>
      <c r="D5" s="64"/>
      <c r="E5" s="64"/>
      <c r="F5" s="65"/>
      <c r="G5" s="66" t="s">
        <v>18</v>
      </c>
      <c r="H5" s="472" t="s">
        <v>163</v>
      </c>
      <c r="I5" s="75"/>
      <c r="J5" s="75"/>
      <c r="K5" s="75"/>
      <c r="L5" s="66" t="s">
        <v>20</v>
      </c>
      <c r="M5" s="101">
        <v>3</v>
      </c>
      <c r="N5" s="102">
        <v>0</v>
      </c>
      <c r="O5" s="66" t="s">
        <v>21</v>
      </c>
      <c r="P5" s="100" t="s">
        <v>164</v>
      </c>
      <c r="Q5" s="66" t="s">
        <v>20</v>
      </c>
      <c r="R5" s="101">
        <v>2</v>
      </c>
      <c r="S5" s="102">
        <v>0</v>
      </c>
      <c r="T5" s="66" t="s">
        <v>21</v>
      </c>
      <c r="U5" s="100" t="s">
        <v>22</v>
      </c>
      <c r="V5" s="66" t="s">
        <v>20</v>
      </c>
      <c r="W5" s="101">
        <v>1</v>
      </c>
      <c r="X5" s="102">
        <v>0</v>
      </c>
      <c r="Y5" s="66" t="s">
        <v>21</v>
      </c>
      <c r="Z5" s="100" t="s">
        <v>165</v>
      </c>
      <c r="AA5" s="66" t="s">
        <v>20</v>
      </c>
      <c r="AB5" s="101">
        <v>5</v>
      </c>
      <c r="AC5" s="102">
        <v>1</v>
      </c>
      <c r="AD5" s="66" t="s">
        <v>21</v>
      </c>
      <c r="AE5" s="100" t="s">
        <v>166</v>
      </c>
      <c r="AF5" s="66" t="s">
        <v>24</v>
      </c>
      <c r="AG5" s="215" t="s">
        <v>167</v>
      </c>
      <c r="AH5" s="215"/>
      <c r="AI5" s="215"/>
      <c r="AJ5" s="216"/>
    </row>
    <row r="6" ht="70" customHeight="1" spans="1:36">
      <c r="A6" s="69" t="s">
        <v>26</v>
      </c>
      <c r="B6" s="70" t="s">
        <v>168</v>
      </c>
      <c r="C6" s="71"/>
      <c r="D6" s="71"/>
      <c r="E6" s="71"/>
      <c r="F6" s="65"/>
      <c r="G6" s="66"/>
      <c r="H6" s="75"/>
      <c r="I6" s="75"/>
      <c r="J6" s="75"/>
      <c r="K6" s="75"/>
      <c r="L6" s="66" t="s">
        <v>28</v>
      </c>
      <c r="M6" s="142" t="s">
        <v>169</v>
      </c>
      <c r="N6" s="113"/>
      <c r="O6" s="113"/>
      <c r="P6" s="113"/>
      <c r="Q6" s="66" t="s">
        <v>28</v>
      </c>
      <c r="R6" s="113" t="s">
        <v>170</v>
      </c>
      <c r="S6" s="113"/>
      <c r="T6" s="113"/>
      <c r="U6" s="113"/>
      <c r="V6" s="66" t="s">
        <v>28</v>
      </c>
      <c r="W6" s="157" t="s">
        <v>171</v>
      </c>
      <c r="X6" s="113"/>
      <c r="Y6" s="113"/>
      <c r="Z6" s="113"/>
      <c r="AA6" s="66" t="s">
        <v>28</v>
      </c>
      <c r="AB6" s="112" t="s">
        <v>172</v>
      </c>
      <c r="AC6" s="113"/>
      <c r="AD6" s="113"/>
      <c r="AE6" s="113"/>
      <c r="AF6" s="66"/>
      <c r="AG6" s="215"/>
      <c r="AH6" s="215"/>
      <c r="AI6" s="215"/>
      <c r="AJ6" s="216"/>
    </row>
    <row r="7" ht="15" customHeight="1" spans="1:36">
      <c r="A7" s="69" t="s">
        <v>33</v>
      </c>
      <c r="B7" s="70" t="s">
        <v>173</v>
      </c>
      <c r="C7" s="72"/>
      <c r="D7" s="72"/>
      <c r="E7" s="72"/>
      <c r="F7" s="65" t="s">
        <v>35</v>
      </c>
      <c r="G7" s="73" t="s">
        <v>36</v>
      </c>
      <c r="H7" s="73"/>
      <c r="I7" s="73"/>
      <c r="J7" s="73"/>
      <c r="K7" s="73"/>
      <c r="L7" s="61" t="s">
        <v>174</v>
      </c>
      <c r="M7" s="61"/>
      <c r="N7" s="61"/>
      <c r="O7" s="61"/>
      <c r="P7" s="61"/>
      <c r="Q7" s="61" t="s">
        <v>175</v>
      </c>
      <c r="R7" s="61"/>
      <c r="S7" s="61"/>
      <c r="T7" s="61"/>
      <c r="U7" s="61"/>
      <c r="V7" s="61" t="s">
        <v>176</v>
      </c>
      <c r="W7" s="61"/>
      <c r="X7" s="61"/>
      <c r="Y7" s="61"/>
      <c r="Z7" s="61"/>
      <c r="AA7" s="61" t="s">
        <v>177</v>
      </c>
      <c r="AB7" s="61"/>
      <c r="AC7" s="61"/>
      <c r="AD7" s="61"/>
      <c r="AE7" s="61"/>
      <c r="AF7" s="73" t="s">
        <v>41</v>
      </c>
      <c r="AG7" s="73"/>
      <c r="AH7" s="73"/>
      <c r="AI7" s="73"/>
      <c r="AJ7" s="120"/>
    </row>
    <row r="8" ht="48" customHeight="1" spans="1:36">
      <c r="A8" s="69"/>
      <c r="B8" s="72"/>
      <c r="C8" s="72"/>
      <c r="D8" s="72"/>
      <c r="E8" s="72"/>
      <c r="F8" s="65"/>
      <c r="G8" s="66" t="s">
        <v>11</v>
      </c>
      <c r="H8" s="117" t="s">
        <v>178</v>
      </c>
      <c r="I8" s="74"/>
      <c r="J8" s="74"/>
      <c r="K8" s="74"/>
      <c r="L8" s="66" t="s">
        <v>13</v>
      </c>
      <c r="M8" s="98">
        <v>0</v>
      </c>
      <c r="N8" s="99">
        <v>0</v>
      </c>
      <c r="O8" s="66" t="s">
        <v>14</v>
      </c>
      <c r="P8" s="100" t="s">
        <v>44</v>
      </c>
      <c r="Q8" s="66" t="s">
        <v>13</v>
      </c>
      <c r="R8" s="98">
        <v>1</v>
      </c>
      <c r="S8" s="99">
        <v>1</v>
      </c>
      <c r="T8" s="66" t="s">
        <v>14</v>
      </c>
      <c r="U8" s="100" t="s">
        <v>161</v>
      </c>
      <c r="V8" s="66" t="s">
        <v>13</v>
      </c>
      <c r="W8" s="98">
        <v>1</v>
      </c>
      <c r="X8" s="99">
        <v>0</v>
      </c>
      <c r="Y8" s="66" t="s">
        <v>14</v>
      </c>
      <c r="Z8" s="100" t="s">
        <v>44</v>
      </c>
      <c r="AA8" s="66" t="s">
        <v>13</v>
      </c>
      <c r="AB8" s="98">
        <v>0</v>
      </c>
      <c r="AC8" s="99">
        <v>1</v>
      </c>
      <c r="AD8" s="66" t="s">
        <v>14</v>
      </c>
      <c r="AE8" s="100" t="s">
        <v>179</v>
      </c>
      <c r="AF8" s="66" t="s">
        <v>16</v>
      </c>
      <c r="AG8" s="88" t="s">
        <v>180</v>
      </c>
      <c r="AH8" s="88"/>
      <c r="AI8" s="88"/>
      <c r="AJ8" s="210"/>
    </row>
    <row r="9" ht="48" customHeight="1" spans="1:36">
      <c r="A9" s="69"/>
      <c r="B9" s="72"/>
      <c r="C9" s="72"/>
      <c r="D9" s="72"/>
      <c r="E9" s="72"/>
      <c r="F9" s="65"/>
      <c r="G9" s="66" t="s">
        <v>18</v>
      </c>
      <c r="H9" s="473" t="s">
        <v>181</v>
      </c>
      <c r="I9" s="127"/>
      <c r="J9" s="127"/>
      <c r="K9" s="127"/>
      <c r="L9" s="66" t="s">
        <v>20</v>
      </c>
      <c r="M9" s="101">
        <v>1</v>
      </c>
      <c r="N9" s="102">
        <v>0</v>
      </c>
      <c r="O9" s="66" t="s">
        <v>21</v>
      </c>
      <c r="P9" s="480" t="s">
        <v>182</v>
      </c>
      <c r="Q9" s="66" t="s">
        <v>20</v>
      </c>
      <c r="R9" s="101">
        <v>5</v>
      </c>
      <c r="S9" s="102">
        <v>0</v>
      </c>
      <c r="T9" s="66" t="s">
        <v>21</v>
      </c>
      <c r="U9" s="100" t="s">
        <v>179</v>
      </c>
      <c r="V9" s="66" t="s">
        <v>20</v>
      </c>
      <c r="W9" s="101">
        <v>1</v>
      </c>
      <c r="X9" s="102">
        <v>0</v>
      </c>
      <c r="Y9" s="66" t="s">
        <v>21</v>
      </c>
      <c r="Z9" s="100" t="s">
        <v>183</v>
      </c>
      <c r="AA9" s="66" t="s">
        <v>20</v>
      </c>
      <c r="AB9" s="101">
        <v>2</v>
      </c>
      <c r="AC9" s="102">
        <v>1</v>
      </c>
      <c r="AD9" s="66" t="s">
        <v>21</v>
      </c>
      <c r="AE9" s="100" t="str">
        <f>_xlfn.DISPIMG("ID_4DA85EF7DBBC423494A691E5A7349D9A",1)</f>
        <v>=DISPIMG("ID_4DA85EF7DBBC423494A691E5A7349D9A",1)</v>
      </c>
      <c r="AF9" s="66" t="s">
        <v>24</v>
      </c>
      <c r="AG9" s="486" t="s">
        <v>184</v>
      </c>
      <c r="AH9" s="89"/>
      <c r="AI9" s="89"/>
      <c r="AJ9" s="211"/>
    </row>
    <row r="10" ht="70" customHeight="1" spans="1:36">
      <c r="A10" s="69" t="s">
        <v>49</v>
      </c>
      <c r="B10" s="70" t="s">
        <v>185</v>
      </c>
      <c r="C10" s="71"/>
      <c r="D10" s="71"/>
      <c r="E10" s="71"/>
      <c r="F10" s="65"/>
      <c r="G10" s="66"/>
      <c r="H10" s="127"/>
      <c r="I10" s="127"/>
      <c r="J10" s="127"/>
      <c r="K10" s="127"/>
      <c r="L10" s="66" t="s">
        <v>28</v>
      </c>
      <c r="M10" s="108" t="s">
        <v>186</v>
      </c>
      <c r="N10" s="108"/>
      <c r="O10" s="108"/>
      <c r="P10" s="108"/>
      <c r="Q10" s="66" t="s">
        <v>28</v>
      </c>
      <c r="R10" s="105" t="s">
        <v>187</v>
      </c>
      <c r="S10" s="105"/>
      <c r="T10" s="105"/>
      <c r="U10" s="105"/>
      <c r="V10" s="66" t="s">
        <v>28</v>
      </c>
      <c r="W10" s="483" t="s">
        <v>188</v>
      </c>
      <c r="X10" s="483"/>
      <c r="Y10" s="483"/>
      <c r="Z10" s="483"/>
      <c r="AA10" s="66" t="s">
        <v>28</v>
      </c>
      <c r="AB10" s="142" t="s">
        <v>189</v>
      </c>
      <c r="AC10" s="113"/>
      <c r="AD10" s="113"/>
      <c r="AE10" s="113"/>
      <c r="AF10" s="66"/>
      <c r="AG10" s="95"/>
      <c r="AH10" s="95"/>
      <c r="AI10" s="95"/>
      <c r="AJ10" s="219"/>
    </row>
    <row r="11" ht="15" customHeight="1" spans="1:36">
      <c r="A11" s="78"/>
      <c r="B11" s="78"/>
      <c r="C11" s="78"/>
      <c r="D11" s="78"/>
      <c r="E11" s="78"/>
      <c r="F11" s="65" t="s">
        <v>55</v>
      </c>
      <c r="G11" s="73" t="s">
        <v>56</v>
      </c>
      <c r="H11" s="73"/>
      <c r="I11" s="73"/>
      <c r="J11" s="73"/>
      <c r="K11" s="73"/>
      <c r="L11" s="61" t="s">
        <v>190</v>
      </c>
      <c r="M11" s="61"/>
      <c r="N11" s="61"/>
      <c r="O11" s="61"/>
      <c r="P11" s="61"/>
      <c r="Q11" s="61" t="s">
        <v>191</v>
      </c>
      <c r="R11" s="61"/>
      <c r="S11" s="61"/>
      <c r="T11" s="61"/>
      <c r="U11" s="61"/>
      <c r="V11" s="61" t="s">
        <v>192</v>
      </c>
      <c r="W11" s="61"/>
      <c r="X11" s="61"/>
      <c r="Y11" s="61"/>
      <c r="Z11" s="61"/>
      <c r="AA11" s="61" t="s">
        <v>193</v>
      </c>
      <c r="AB11" s="61"/>
      <c r="AC11" s="61"/>
      <c r="AD11" s="61"/>
      <c r="AE11" s="61"/>
      <c r="AF11" s="73" t="s">
        <v>61</v>
      </c>
      <c r="AG11" s="73"/>
      <c r="AH11" s="73"/>
      <c r="AI11" s="73"/>
      <c r="AJ11" s="120"/>
    </row>
    <row r="12" ht="48" customHeight="1" spans="1:36">
      <c r="A12" s="79" t="s">
        <v>62</v>
      </c>
      <c r="B12" s="80" t="str">
        <f>_xlfn.DISPIMG("ID_45B51E361A754A398FB3DF992A78D3E8",1)</f>
        <v>=DISPIMG("ID_45B51E361A754A398FB3DF992A78D3E8",1)</v>
      </c>
      <c r="C12" s="80"/>
      <c r="D12" s="80"/>
      <c r="E12" s="80"/>
      <c r="F12" s="65"/>
      <c r="G12" s="66" t="s">
        <v>11</v>
      </c>
      <c r="H12" s="67" t="s">
        <v>194</v>
      </c>
      <c r="I12" s="67"/>
      <c r="J12" s="67"/>
      <c r="K12" s="67"/>
      <c r="L12" s="66" t="s">
        <v>13</v>
      </c>
      <c r="M12" s="98">
        <v>0</v>
      </c>
      <c r="N12" s="99">
        <v>0</v>
      </c>
      <c r="O12" s="66" t="s">
        <v>14</v>
      </c>
      <c r="P12" s="100" t="s">
        <v>161</v>
      </c>
      <c r="Q12" s="66" t="s">
        <v>13</v>
      </c>
      <c r="R12" s="98">
        <v>1</v>
      </c>
      <c r="S12" s="99">
        <v>0</v>
      </c>
      <c r="T12" s="66" t="s">
        <v>14</v>
      </c>
      <c r="U12" s="100" t="s">
        <v>44</v>
      </c>
      <c r="V12" s="66" t="s">
        <v>13</v>
      </c>
      <c r="W12" s="98">
        <v>0</v>
      </c>
      <c r="X12" s="99">
        <v>1</v>
      </c>
      <c r="Y12" s="66" t="s">
        <v>14</v>
      </c>
      <c r="Z12" s="100" t="s">
        <v>44</v>
      </c>
      <c r="AA12" s="66" t="s">
        <v>13</v>
      </c>
      <c r="AB12" s="98">
        <v>1</v>
      </c>
      <c r="AC12" s="99">
        <v>0</v>
      </c>
      <c r="AD12" s="66" t="s">
        <v>14</v>
      </c>
      <c r="AE12" s="100" t="s">
        <v>44</v>
      </c>
      <c r="AF12" s="66" t="s">
        <v>16</v>
      </c>
      <c r="AG12" s="187" t="s">
        <v>195</v>
      </c>
      <c r="AH12" s="187"/>
      <c r="AI12" s="187"/>
      <c r="AJ12" s="487"/>
    </row>
    <row r="13" ht="48" customHeight="1" spans="1:36">
      <c r="A13" s="82"/>
      <c r="B13" s="80"/>
      <c r="C13" s="80"/>
      <c r="D13" s="80"/>
      <c r="E13" s="80"/>
      <c r="F13" s="65"/>
      <c r="G13" s="66" t="s">
        <v>18</v>
      </c>
      <c r="H13" s="68" t="s">
        <v>196</v>
      </c>
      <c r="I13" s="68"/>
      <c r="J13" s="68"/>
      <c r="K13" s="68"/>
      <c r="L13" s="66" t="s">
        <v>20</v>
      </c>
      <c r="M13" s="101">
        <v>2</v>
      </c>
      <c r="N13" s="102">
        <v>0</v>
      </c>
      <c r="O13" s="66" t="s">
        <v>21</v>
      </c>
      <c r="P13" s="100" t="s">
        <v>197</v>
      </c>
      <c r="Q13" s="66" t="s">
        <v>20</v>
      </c>
      <c r="R13" s="101">
        <v>4</v>
      </c>
      <c r="S13" s="102">
        <v>0</v>
      </c>
      <c r="T13" s="66" t="s">
        <v>21</v>
      </c>
      <c r="U13" s="100" t="s">
        <v>22</v>
      </c>
      <c r="V13" s="66" t="s">
        <v>20</v>
      </c>
      <c r="W13" s="101">
        <v>0</v>
      </c>
      <c r="X13" s="102">
        <v>0</v>
      </c>
      <c r="Y13" s="66" t="s">
        <v>21</v>
      </c>
      <c r="Z13" s="100" t="s">
        <v>198</v>
      </c>
      <c r="AA13" s="66" t="s">
        <v>20</v>
      </c>
      <c r="AB13" s="101">
        <v>8</v>
      </c>
      <c r="AC13" s="102">
        <v>1</v>
      </c>
      <c r="AD13" s="66" t="s">
        <v>21</v>
      </c>
      <c r="AE13" s="100" t="s">
        <v>198</v>
      </c>
      <c r="AF13" s="66" t="s">
        <v>24</v>
      </c>
      <c r="AG13" s="486" t="s">
        <v>199</v>
      </c>
      <c r="AH13" s="197"/>
      <c r="AI13" s="197"/>
      <c r="AJ13" s="488"/>
    </row>
    <row r="14" ht="70" customHeight="1" spans="1:36">
      <c r="A14" s="82"/>
      <c r="B14" s="80"/>
      <c r="C14" s="80"/>
      <c r="D14" s="80"/>
      <c r="E14" s="80"/>
      <c r="F14" s="65"/>
      <c r="G14" s="66"/>
      <c r="H14" s="68"/>
      <c r="I14" s="68"/>
      <c r="J14" s="68"/>
      <c r="K14" s="68"/>
      <c r="L14" s="66" t="s">
        <v>28</v>
      </c>
      <c r="M14" s="114" t="s">
        <v>200</v>
      </c>
      <c r="N14" s="113"/>
      <c r="O14" s="113"/>
      <c r="P14" s="113"/>
      <c r="Q14" s="66" t="s">
        <v>28</v>
      </c>
      <c r="R14" s="113" t="s">
        <v>201</v>
      </c>
      <c r="S14" s="113"/>
      <c r="T14" s="113"/>
      <c r="U14" s="113"/>
      <c r="V14" s="66" t="s">
        <v>28</v>
      </c>
      <c r="W14" s="483" t="s">
        <v>202</v>
      </c>
      <c r="X14" s="107"/>
      <c r="Y14" s="107"/>
      <c r="Z14" s="107"/>
      <c r="AA14" s="66" t="s">
        <v>28</v>
      </c>
      <c r="AB14" s="142" t="s">
        <v>203</v>
      </c>
      <c r="AC14" s="142"/>
      <c r="AD14" s="142"/>
      <c r="AE14" s="142"/>
      <c r="AF14" s="66"/>
      <c r="AG14" s="191"/>
      <c r="AH14" s="191"/>
      <c r="AI14" s="191"/>
      <c r="AJ14" s="489"/>
    </row>
    <row r="15" ht="15" customHeight="1" spans="1:36">
      <c r="A15" s="83"/>
      <c r="B15" s="83"/>
      <c r="C15" s="83"/>
      <c r="D15" s="83"/>
      <c r="E15" s="83"/>
      <c r="F15" s="65" t="s">
        <v>77</v>
      </c>
      <c r="G15" s="73" t="s">
        <v>78</v>
      </c>
      <c r="H15" s="73"/>
      <c r="I15" s="73"/>
      <c r="J15" s="73"/>
      <c r="K15" s="120"/>
      <c r="L15" s="73" t="s">
        <v>78</v>
      </c>
      <c r="M15" s="73"/>
      <c r="N15" s="73"/>
      <c r="O15" s="73"/>
      <c r="P15" s="120"/>
      <c r="Q15" s="61" t="s">
        <v>204</v>
      </c>
      <c r="R15" s="61"/>
      <c r="S15" s="61"/>
      <c r="T15" s="61"/>
      <c r="U15" s="61"/>
      <c r="V15" s="61" t="s">
        <v>205</v>
      </c>
      <c r="W15" s="61"/>
      <c r="X15" s="61"/>
      <c r="Y15" s="61"/>
      <c r="Z15" s="61"/>
      <c r="AA15" s="61" t="s">
        <v>206</v>
      </c>
      <c r="AB15" s="61"/>
      <c r="AC15" s="61"/>
      <c r="AD15" s="61"/>
      <c r="AE15" s="61"/>
      <c r="AF15" s="73" t="s">
        <v>78</v>
      </c>
      <c r="AG15" s="73"/>
      <c r="AH15" s="73"/>
      <c r="AI15" s="73"/>
      <c r="AJ15" s="120"/>
    </row>
    <row r="16" ht="48" customHeight="1" spans="1:36">
      <c r="A16" s="85" t="s">
        <v>83</v>
      </c>
      <c r="B16" s="86" t="s">
        <v>88</v>
      </c>
      <c r="C16" s="87"/>
      <c r="D16" s="87"/>
      <c r="E16" s="87"/>
      <c r="F16" s="65"/>
      <c r="G16" s="66" t="s">
        <v>16</v>
      </c>
      <c r="H16" s="474" t="s">
        <v>207</v>
      </c>
      <c r="I16" s="474"/>
      <c r="J16" s="474"/>
      <c r="K16" s="474"/>
      <c r="L16" s="66" t="s">
        <v>16</v>
      </c>
      <c r="M16" s="164" t="s">
        <v>208</v>
      </c>
      <c r="N16" s="164"/>
      <c r="O16" s="164"/>
      <c r="P16" s="164"/>
      <c r="Q16" s="66" t="s">
        <v>13</v>
      </c>
      <c r="R16" s="98">
        <v>1</v>
      </c>
      <c r="S16" s="99">
        <v>1</v>
      </c>
      <c r="T16" s="66" t="s">
        <v>14</v>
      </c>
      <c r="U16" s="100" t="s">
        <v>44</v>
      </c>
      <c r="V16" s="66" t="s">
        <v>13</v>
      </c>
      <c r="W16" s="98">
        <v>1</v>
      </c>
      <c r="X16" s="99">
        <v>0</v>
      </c>
      <c r="Y16" s="66" t="s">
        <v>14</v>
      </c>
      <c r="Z16" s="100" t="s">
        <v>44</v>
      </c>
      <c r="AA16" s="66" t="s">
        <v>13</v>
      </c>
      <c r="AB16" s="98">
        <v>1</v>
      </c>
      <c r="AC16" s="99">
        <v>0</v>
      </c>
      <c r="AD16" s="66" t="s">
        <v>14</v>
      </c>
      <c r="AE16" s="100" t="s">
        <v>44</v>
      </c>
      <c r="AF16" s="66" t="s">
        <v>16</v>
      </c>
      <c r="AG16" s="159" t="s">
        <v>209</v>
      </c>
      <c r="AH16" s="159"/>
      <c r="AI16" s="159"/>
      <c r="AJ16" s="160"/>
    </row>
    <row r="17" ht="48" customHeight="1" spans="1:36">
      <c r="A17" s="85" t="s">
        <v>87</v>
      </c>
      <c r="B17" s="87" t="s">
        <v>210</v>
      </c>
      <c r="C17" s="87"/>
      <c r="D17" s="87"/>
      <c r="E17" s="87"/>
      <c r="F17" s="65"/>
      <c r="G17" s="66" t="s">
        <v>24</v>
      </c>
      <c r="H17" s="475" t="s">
        <v>211</v>
      </c>
      <c r="I17" s="475"/>
      <c r="J17" s="475"/>
      <c r="K17" s="475"/>
      <c r="L17" s="66" t="s">
        <v>24</v>
      </c>
      <c r="M17" s="214" t="s">
        <v>212</v>
      </c>
      <c r="N17" s="214"/>
      <c r="O17" s="214"/>
      <c r="P17" s="214"/>
      <c r="Q17" s="66" t="s">
        <v>20</v>
      </c>
      <c r="R17" s="101">
        <v>2</v>
      </c>
      <c r="S17" s="102">
        <v>1</v>
      </c>
      <c r="T17" s="66" t="s">
        <v>21</v>
      </c>
      <c r="U17" s="100" t="s">
        <v>22</v>
      </c>
      <c r="V17" s="66" t="s">
        <v>20</v>
      </c>
      <c r="W17" s="101">
        <v>5</v>
      </c>
      <c r="X17" s="102">
        <v>2</v>
      </c>
      <c r="Y17" s="66" t="s">
        <v>21</v>
      </c>
      <c r="Z17" s="480" t="s">
        <v>213</v>
      </c>
      <c r="AA17" s="66" t="s">
        <v>20</v>
      </c>
      <c r="AB17" s="101">
        <v>0</v>
      </c>
      <c r="AC17" s="102">
        <v>0</v>
      </c>
      <c r="AD17" s="66" t="s">
        <v>21</v>
      </c>
      <c r="AE17" s="100" t="s">
        <v>179</v>
      </c>
      <c r="AF17" s="66" t="s">
        <v>24</v>
      </c>
      <c r="AG17" s="161" t="s">
        <v>214</v>
      </c>
      <c r="AH17" s="161"/>
      <c r="AI17" s="161"/>
      <c r="AJ17" s="162"/>
    </row>
    <row r="18" ht="87" customHeight="1" spans="1:36">
      <c r="A18" s="90" t="s">
        <v>92</v>
      </c>
      <c r="B18" s="91" t="s">
        <v>215</v>
      </c>
      <c r="C18" s="92"/>
      <c r="D18" s="92"/>
      <c r="E18" s="92"/>
      <c r="F18" s="476"/>
      <c r="G18" s="193"/>
      <c r="H18" s="477"/>
      <c r="I18" s="477"/>
      <c r="J18" s="477"/>
      <c r="K18" s="477"/>
      <c r="L18" s="193"/>
      <c r="M18" s="469"/>
      <c r="N18" s="469"/>
      <c r="O18" s="469"/>
      <c r="P18" s="469"/>
      <c r="Q18" s="66" t="s">
        <v>28</v>
      </c>
      <c r="R18" s="484" t="s">
        <v>216</v>
      </c>
      <c r="S18" s="485"/>
      <c r="T18" s="485"/>
      <c r="U18" s="485"/>
      <c r="V18" s="66" t="s">
        <v>28</v>
      </c>
      <c r="W18" s="108" t="s">
        <v>217</v>
      </c>
      <c r="X18" s="108"/>
      <c r="Y18" s="108"/>
      <c r="Z18" s="108"/>
      <c r="AA18" s="66" t="s">
        <v>28</v>
      </c>
      <c r="AB18" s="108" t="s">
        <v>218</v>
      </c>
      <c r="AC18" s="108"/>
      <c r="AD18" s="108"/>
      <c r="AE18" s="108"/>
      <c r="AF18" s="94"/>
      <c r="AG18" s="280"/>
      <c r="AH18" s="280"/>
      <c r="AI18" s="280"/>
      <c r="AJ18" s="281"/>
    </row>
    <row r="19" ht="17.25" spans="6:12">
      <c r="F19" s="455" t="s">
        <v>160</v>
      </c>
      <c r="G19" s="456"/>
      <c r="H19" s="131" t="s">
        <v>219</v>
      </c>
      <c r="I19" s="143" t="s">
        <v>220</v>
      </c>
      <c r="J19" s="143"/>
      <c r="K19" s="143"/>
      <c r="L19" s="144"/>
    </row>
    <row r="20" spans="6:12">
      <c r="F20" s="132"/>
      <c r="G20" s="133"/>
      <c r="H20" s="145" t="s">
        <v>221</v>
      </c>
      <c r="I20" s="145"/>
      <c r="J20" s="145"/>
      <c r="K20" s="146" t="str">
        <f>_xlfn.DISPIMG("ID_F8079588F6A94777946C2A55ED103984",1)</f>
        <v>=DISPIMG("ID_F8079588F6A94777946C2A55ED103984",1)</v>
      </c>
      <c r="L20" s="147"/>
    </row>
    <row r="21" spans="6:12">
      <c r="F21" s="132"/>
      <c r="G21" s="133"/>
      <c r="H21" s="145" t="s">
        <v>222</v>
      </c>
      <c r="I21" s="145"/>
      <c r="J21" s="145"/>
      <c r="K21" s="148"/>
      <c r="L21" s="149"/>
    </row>
    <row r="22" ht="17" customHeight="1" spans="6:12">
      <c r="F22" s="132"/>
      <c r="G22" s="133"/>
      <c r="H22" s="145" t="s">
        <v>223</v>
      </c>
      <c r="I22" s="145"/>
      <c r="J22" s="145"/>
      <c r="K22" s="150"/>
      <c r="L22" s="151"/>
    </row>
    <row r="23" spans="6:12">
      <c r="F23" s="135" t="s">
        <v>224</v>
      </c>
      <c r="G23" s="136"/>
      <c r="H23" s="478" t="s">
        <v>225</v>
      </c>
      <c r="I23" s="478"/>
      <c r="J23" s="478"/>
      <c r="K23" s="478"/>
      <c r="L23" s="481"/>
    </row>
    <row r="24" ht="112" customHeight="1" spans="6:12">
      <c r="F24" s="138"/>
      <c r="G24" s="139"/>
      <c r="H24" s="479"/>
      <c r="I24" s="479"/>
      <c r="J24" s="479"/>
      <c r="K24" s="479"/>
      <c r="L24" s="482"/>
    </row>
    <row r="32" spans="15:15">
      <c r="O32"/>
    </row>
    <row r="43" spans="18:18">
      <c r="R43"/>
    </row>
  </sheetData>
  <sheetProtection selectLockedCells="1" formatCells="0" formatColumns="0" formatRows="0" insertRows="0" insertColumns="0" insertHyperlinks="0" deleteColumns="0" deleteRows="0" sort="0" autoFilter="0" pivotTables="0"/>
  <mergeCells count="93">
    <mergeCell ref="B1:C1"/>
    <mergeCell ref="D1:E1"/>
    <mergeCell ref="L1:P1"/>
    <mergeCell ref="Q1:U1"/>
    <mergeCell ref="V1:Z1"/>
    <mergeCell ref="AA1:AE1"/>
    <mergeCell ref="G3:K3"/>
    <mergeCell ref="L3:P3"/>
    <mergeCell ref="Q3:U3"/>
    <mergeCell ref="V3:Z3"/>
    <mergeCell ref="AA3:AE3"/>
    <mergeCell ref="AF3:AJ3"/>
    <mergeCell ref="H4:K4"/>
    <mergeCell ref="AG4:AJ4"/>
    <mergeCell ref="B6:E6"/>
    <mergeCell ref="M6:P6"/>
    <mergeCell ref="R6:U6"/>
    <mergeCell ref="W6:Z6"/>
    <mergeCell ref="AB6:AE6"/>
    <mergeCell ref="G7:K7"/>
    <mergeCell ref="L7:P7"/>
    <mergeCell ref="Q7:U7"/>
    <mergeCell ref="V7:Z7"/>
    <mergeCell ref="AA7:AE7"/>
    <mergeCell ref="AF7:AJ7"/>
    <mergeCell ref="H8:K8"/>
    <mergeCell ref="AG8:AJ8"/>
    <mergeCell ref="B10:E10"/>
    <mergeCell ref="M10:P10"/>
    <mergeCell ref="R10:U10"/>
    <mergeCell ref="W10:Z10"/>
    <mergeCell ref="AB10:AE10"/>
    <mergeCell ref="G11:K11"/>
    <mergeCell ref="L11:P11"/>
    <mergeCell ref="Q11:U11"/>
    <mergeCell ref="V11:Z11"/>
    <mergeCell ref="AA11:AE11"/>
    <mergeCell ref="AF11:AJ11"/>
    <mergeCell ref="H12:K12"/>
    <mergeCell ref="AG12:AJ12"/>
    <mergeCell ref="M14:P14"/>
    <mergeCell ref="R14:U14"/>
    <mergeCell ref="W14:Z14"/>
    <mergeCell ref="AB14:AE14"/>
    <mergeCell ref="G15:K15"/>
    <mergeCell ref="L15:P15"/>
    <mergeCell ref="Q15:U15"/>
    <mergeCell ref="V15:Z15"/>
    <mergeCell ref="AA15:AE15"/>
    <mergeCell ref="AF15:AJ15"/>
    <mergeCell ref="B16:E16"/>
    <mergeCell ref="H16:K16"/>
    <mergeCell ref="M16:P16"/>
    <mergeCell ref="AG16:AJ16"/>
    <mergeCell ref="B17:E17"/>
    <mergeCell ref="B18:E18"/>
    <mergeCell ref="R18:U18"/>
    <mergeCell ref="W18:Z18"/>
    <mergeCell ref="AB18:AE18"/>
    <mergeCell ref="F19:G19"/>
    <mergeCell ref="I19:L19"/>
    <mergeCell ref="A7:A9"/>
    <mergeCell ref="A12:A14"/>
    <mergeCell ref="F3:F6"/>
    <mergeCell ref="F7:F10"/>
    <mergeCell ref="F11:F14"/>
    <mergeCell ref="F15:F18"/>
    <mergeCell ref="G5:G6"/>
    <mergeCell ref="G9:G10"/>
    <mergeCell ref="G13:G14"/>
    <mergeCell ref="G17:G18"/>
    <mergeCell ref="L17:L18"/>
    <mergeCell ref="AF5:AF6"/>
    <mergeCell ref="AF9:AF10"/>
    <mergeCell ref="AF13:AF14"/>
    <mergeCell ref="AF17:AF18"/>
    <mergeCell ref="A4:B5"/>
    <mergeCell ref="C4:E5"/>
    <mergeCell ref="H5:K6"/>
    <mergeCell ref="B7:E9"/>
    <mergeCell ref="H9:K10"/>
    <mergeCell ref="B12:E14"/>
    <mergeCell ref="H13:K14"/>
    <mergeCell ref="M17:P18"/>
    <mergeCell ref="AG17:AJ18"/>
    <mergeCell ref="F20:G22"/>
    <mergeCell ref="K20:L22"/>
    <mergeCell ref="H23:L24"/>
    <mergeCell ref="F23:G24"/>
    <mergeCell ref="AG5:AJ6"/>
    <mergeCell ref="AG13:AJ14"/>
    <mergeCell ref="AG9:AJ10"/>
    <mergeCell ref="H17:K18"/>
  </mergeCells>
  <conditionalFormatting sqref="M4">
    <cfRule type="cellIs" dxfId="0" priority="52" operator="equal">
      <formula>0</formula>
    </cfRule>
  </conditionalFormatting>
  <conditionalFormatting sqref="N4">
    <cfRule type="cellIs" dxfId="0" priority="53" operator="equal">
      <formula>0</formula>
    </cfRule>
  </conditionalFormatting>
  <conditionalFormatting sqref="R4">
    <cfRule type="cellIs" dxfId="0" priority="103" operator="equal">
      <formula>0</formula>
    </cfRule>
  </conditionalFormatting>
  <conditionalFormatting sqref="S4">
    <cfRule type="cellIs" dxfId="0" priority="104" operator="equal">
      <formula>0</formula>
    </cfRule>
  </conditionalFormatting>
  <conditionalFormatting sqref="W4">
    <cfRule type="cellIs" dxfId="0" priority="1" operator="equal">
      <formula>0</formula>
    </cfRule>
  </conditionalFormatting>
  <conditionalFormatting sqref="X4">
    <cfRule type="cellIs" dxfId="0" priority="2" operator="equal">
      <formula>0</formula>
    </cfRule>
  </conditionalFormatting>
  <conditionalFormatting sqref="AB4">
    <cfRule type="cellIs" dxfId="0" priority="19" operator="equal">
      <formula>0</formula>
    </cfRule>
  </conditionalFormatting>
  <conditionalFormatting sqref="AC4">
    <cfRule type="cellIs" dxfId="0" priority="20" operator="equal">
      <formula>0</formula>
    </cfRule>
  </conditionalFormatting>
  <conditionalFormatting sqref="M8">
    <cfRule type="cellIs" dxfId="0" priority="46" operator="equal">
      <formula>0</formula>
    </cfRule>
  </conditionalFormatting>
  <conditionalFormatting sqref="N8">
    <cfRule type="cellIs" dxfId="0" priority="47" operator="equal">
      <formula>0</formula>
    </cfRule>
  </conditionalFormatting>
  <conditionalFormatting sqref="R8">
    <cfRule type="cellIs" dxfId="0" priority="31" operator="equal">
      <formula>0</formula>
    </cfRule>
  </conditionalFormatting>
  <conditionalFormatting sqref="S8">
    <cfRule type="cellIs" dxfId="0" priority="32" operator="equal">
      <formula>0</formula>
    </cfRule>
  </conditionalFormatting>
  <conditionalFormatting sqref="W8">
    <cfRule type="cellIs" dxfId="0" priority="82" operator="equal">
      <formula>0</formula>
    </cfRule>
  </conditionalFormatting>
  <conditionalFormatting sqref="X8">
    <cfRule type="cellIs" dxfId="0" priority="83" operator="equal">
      <formula>0</formula>
    </cfRule>
  </conditionalFormatting>
  <conditionalFormatting sqref="AB8">
    <cfRule type="cellIs" dxfId="0" priority="64" operator="equal">
      <formula>0</formula>
    </cfRule>
  </conditionalFormatting>
  <conditionalFormatting sqref="AC8">
    <cfRule type="cellIs" dxfId="0" priority="65" operator="equal">
      <formula>0</formula>
    </cfRule>
  </conditionalFormatting>
  <conditionalFormatting sqref="M12">
    <cfRule type="cellIs" dxfId="0" priority="10" operator="equal">
      <formula>0</formula>
    </cfRule>
  </conditionalFormatting>
  <conditionalFormatting sqref="N12">
    <cfRule type="cellIs" dxfId="0" priority="11" operator="equal">
      <formula>0</formula>
    </cfRule>
  </conditionalFormatting>
  <conditionalFormatting sqref="R12">
    <cfRule type="cellIs" dxfId="0" priority="28" operator="equal">
      <formula>0</formula>
    </cfRule>
  </conditionalFormatting>
  <conditionalFormatting sqref="S12">
    <cfRule type="cellIs" dxfId="0" priority="29" operator="equal">
      <formula>0</formula>
    </cfRule>
  </conditionalFormatting>
  <conditionalFormatting sqref="W12">
    <cfRule type="cellIs" dxfId="0" priority="4" operator="equal">
      <formula>0</formula>
    </cfRule>
  </conditionalFormatting>
  <conditionalFormatting sqref="X12">
    <cfRule type="cellIs" dxfId="0" priority="5" operator="equal">
      <formula>0</formula>
    </cfRule>
  </conditionalFormatting>
  <conditionalFormatting sqref="AB12">
    <cfRule type="cellIs" dxfId="0" priority="70" operator="equal">
      <formula>0</formula>
    </cfRule>
  </conditionalFormatting>
  <conditionalFormatting sqref="AC12">
    <cfRule type="cellIs" dxfId="0" priority="71" operator="equal">
      <formula>0</formula>
    </cfRule>
  </conditionalFormatting>
  <conditionalFormatting sqref="R16">
    <cfRule type="cellIs" dxfId="0" priority="76" operator="equal">
      <formula>0</formula>
    </cfRule>
  </conditionalFormatting>
  <conditionalFormatting sqref="S16">
    <cfRule type="cellIs" dxfId="0" priority="77" operator="equal">
      <formula>0</formula>
    </cfRule>
  </conditionalFormatting>
  <conditionalFormatting sqref="W16">
    <cfRule type="cellIs" dxfId="0" priority="13" operator="equal">
      <formula>0</formula>
    </cfRule>
  </conditionalFormatting>
  <conditionalFormatting sqref="X16">
    <cfRule type="cellIs" dxfId="0" priority="14" operator="equal">
      <formula>0</formula>
    </cfRule>
  </conditionalFormatting>
  <conditionalFormatting sqref="AB16">
    <cfRule type="cellIs" dxfId="0" priority="67" operator="equal">
      <formula>0</formula>
    </cfRule>
  </conditionalFormatting>
  <conditionalFormatting sqref="AC16">
    <cfRule type="cellIs" dxfId="0" priority="68" operator="equal">
      <formula>0</formula>
    </cfRule>
  </conditionalFormatting>
  <conditionalFormatting sqref="M4:N5">
    <cfRule type="cellIs" dxfId="1" priority="54" operator="equal">
      <formula>0</formula>
    </cfRule>
  </conditionalFormatting>
  <conditionalFormatting sqref="R4:S5">
    <cfRule type="cellIs" dxfId="1" priority="105" operator="equal">
      <formula>0</formula>
    </cfRule>
  </conditionalFormatting>
  <conditionalFormatting sqref="W4:X5">
    <cfRule type="cellIs" dxfId="1" priority="3" operator="equal">
      <formula>0</formula>
    </cfRule>
  </conditionalFormatting>
  <conditionalFormatting sqref="AB4:AC5">
    <cfRule type="cellIs" dxfId="1" priority="21" operator="equal">
      <formula>0</formula>
    </cfRule>
  </conditionalFormatting>
  <conditionalFormatting sqref="M8:N9">
    <cfRule type="cellIs" dxfId="1" priority="48" operator="equal">
      <formula>0</formula>
    </cfRule>
  </conditionalFormatting>
  <conditionalFormatting sqref="R8:S9">
    <cfRule type="cellIs" dxfId="1" priority="33" operator="equal">
      <formula>0</formula>
    </cfRule>
  </conditionalFormatting>
  <conditionalFormatting sqref="W8:X9">
    <cfRule type="cellIs" dxfId="1" priority="84" operator="equal">
      <formula>0</formula>
    </cfRule>
  </conditionalFormatting>
  <conditionalFormatting sqref="AB8:AC9">
    <cfRule type="cellIs" dxfId="1" priority="66" operator="equal">
      <formula>0</formula>
    </cfRule>
  </conditionalFormatting>
  <conditionalFormatting sqref="M12:N13">
    <cfRule type="cellIs" dxfId="1" priority="12" operator="equal">
      <formula>0</formula>
    </cfRule>
  </conditionalFormatting>
  <conditionalFormatting sqref="R12:S13">
    <cfRule type="cellIs" dxfId="1" priority="30" operator="equal">
      <formula>0</formula>
    </cfRule>
  </conditionalFormatting>
  <conditionalFormatting sqref="W12:X13">
    <cfRule type="cellIs" dxfId="1" priority="6" operator="equal">
      <formula>0</formula>
    </cfRule>
  </conditionalFormatting>
  <conditionalFormatting sqref="AB12:AC13">
    <cfRule type="cellIs" dxfId="1" priority="72" operator="equal">
      <formula>0</formula>
    </cfRule>
  </conditionalFormatting>
  <conditionalFormatting sqref="R16:S17">
    <cfRule type="cellIs" dxfId="1" priority="78" operator="equal">
      <formula>0</formula>
    </cfRule>
  </conditionalFormatting>
  <conditionalFormatting sqref="W16:X17">
    <cfRule type="cellIs" dxfId="1" priority="15" operator="equal">
      <formula>0</formula>
    </cfRule>
  </conditionalFormatting>
  <conditionalFormatting sqref="AB16:AC17">
    <cfRule type="cellIs" dxfId="1" priority="69" operator="equal">
      <formula>0</formula>
    </cfRule>
  </conditionalFormatting>
  <pageMargins left="0.75" right="0.75" top="1" bottom="1" header="0.5" footer="0.5"/>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AJ47"/>
  <sheetViews>
    <sheetView showGridLines="0" zoomScale="85" zoomScaleNormal="85" topLeftCell="N5" workbookViewId="0">
      <selection activeCell="AB10" sqref="AB10:AE10"/>
    </sheetView>
  </sheetViews>
  <sheetFormatPr defaultColWidth="8.89090909090909" defaultRowHeight="16.5"/>
  <cols>
    <col min="1" max="5" width="10" style="1" customWidth="1"/>
    <col min="6" max="7" width="5" style="1" customWidth="1"/>
    <col min="8" max="11" width="10" style="1" customWidth="1"/>
    <col min="12" max="12" width="5" style="1" customWidth="1"/>
    <col min="13" max="14" width="10" style="1" customWidth="1"/>
    <col min="15" max="15" width="5" style="1" customWidth="1"/>
    <col min="16" max="16" width="20" style="1" customWidth="1"/>
    <col min="17" max="17" width="5" style="1" customWidth="1"/>
    <col min="18" max="19" width="10" style="1" customWidth="1"/>
    <col min="20" max="20" width="5" style="1" customWidth="1"/>
    <col min="21" max="21" width="20" style="1" customWidth="1"/>
    <col min="22" max="22" width="5" style="1" customWidth="1"/>
    <col min="23" max="24" width="10" style="1" customWidth="1"/>
    <col min="25" max="25" width="5" style="1" customWidth="1"/>
    <col min="26" max="26" width="20" style="1" customWidth="1"/>
    <col min="27" max="27" width="5" style="1" customWidth="1"/>
    <col min="28" max="29" width="10" style="1" customWidth="1"/>
    <col min="30" max="30" width="5" style="1" customWidth="1"/>
    <col min="31" max="31" width="20" style="1" customWidth="1"/>
    <col min="32" max="32" width="5" style="1" customWidth="1"/>
    <col min="33" max="36" width="10" style="1" customWidth="1"/>
    <col min="37" max="16384" width="8.89090909090909" style="1"/>
  </cols>
  <sheetData>
    <row r="1" s="1" customFormat="1" ht="60" customHeight="1" spans="1:36">
      <c r="A1" s="174" t="str">
        <f>_xlfn.DISPIMG("ID_3CC9339639E34C35B185CE317598FFE5",1)</f>
        <v>=DISPIMG("ID_3CC9339639E34C35B185CE317598FFE5",1)</v>
      </c>
      <c r="B1" s="54" t="s">
        <v>226</v>
      </c>
      <c r="C1" s="54"/>
      <c r="D1" s="175" t="s">
        <v>1</v>
      </c>
      <c r="E1" s="176"/>
      <c r="F1" s="5"/>
      <c r="G1" s="1"/>
      <c r="H1" s="1"/>
      <c r="I1" s="1"/>
      <c r="J1" s="1"/>
      <c r="K1" s="1"/>
      <c r="L1" s="109"/>
      <c r="M1" s="5"/>
      <c r="N1" s="5"/>
      <c r="O1" s="5"/>
      <c r="P1" s="5"/>
      <c r="Q1" s="109"/>
      <c r="R1" s="5"/>
      <c r="S1" s="5"/>
      <c r="T1" s="5"/>
      <c r="U1" s="5"/>
      <c r="V1" s="109"/>
      <c r="W1" s="5"/>
      <c r="X1" s="5"/>
      <c r="Y1" s="5"/>
      <c r="Z1" s="5"/>
      <c r="AA1" s="109"/>
      <c r="AB1" s="5"/>
      <c r="AC1" s="5"/>
      <c r="AD1" s="5"/>
      <c r="AE1" s="5"/>
      <c r="AF1" s="205" t="s">
        <v>227</v>
      </c>
      <c r="AG1" s="208"/>
      <c r="AH1" s="208"/>
      <c r="AI1" s="208"/>
      <c r="AJ1" s="208"/>
    </row>
    <row r="2" s="1" customFormat="1" ht="15" customHeight="1" spans="1:36">
      <c r="A2" s="58"/>
      <c r="B2" s="58"/>
      <c r="C2" s="58"/>
      <c r="D2" s="58"/>
      <c r="E2" s="58"/>
      <c r="F2" s="177"/>
      <c r="G2" s="177"/>
      <c r="H2" s="177"/>
      <c r="I2" s="177"/>
      <c r="J2" s="177"/>
      <c r="K2" s="177"/>
      <c r="L2" s="192"/>
      <c r="M2" s="192"/>
      <c r="N2" s="192"/>
      <c r="O2" s="192"/>
      <c r="P2" s="192"/>
      <c r="Q2" s="192"/>
      <c r="R2" s="192"/>
      <c r="S2" s="192"/>
      <c r="T2" s="192"/>
      <c r="U2" s="192"/>
      <c r="V2" s="192"/>
      <c r="W2" s="192"/>
      <c r="X2" s="192"/>
      <c r="Y2" s="192"/>
      <c r="Z2" s="192"/>
      <c r="AA2" s="192"/>
      <c r="AB2" s="192"/>
      <c r="AC2" s="192"/>
      <c r="AD2" s="192"/>
      <c r="AE2" s="192"/>
      <c r="AF2" s="206"/>
      <c r="AG2" s="206"/>
      <c r="AH2" s="206"/>
      <c r="AI2" s="206"/>
      <c r="AJ2" s="209"/>
    </row>
    <row r="3" s="1" customFormat="1" ht="20" customHeight="1" spans="1:36">
      <c r="A3" s="58"/>
      <c r="B3" s="58"/>
      <c r="C3" s="58"/>
      <c r="D3" s="58"/>
      <c r="E3" s="58"/>
      <c r="F3" s="178" t="s">
        <v>3</v>
      </c>
      <c r="G3" s="179" t="s">
        <v>4</v>
      </c>
      <c r="H3" s="61"/>
      <c r="I3" s="61"/>
      <c r="J3" s="61"/>
      <c r="K3" s="61"/>
      <c r="L3" s="61" t="s">
        <v>228</v>
      </c>
      <c r="M3" s="61"/>
      <c r="N3" s="61"/>
      <c r="O3" s="61"/>
      <c r="P3" s="61"/>
      <c r="Q3" s="61" t="s">
        <v>229</v>
      </c>
      <c r="R3" s="61"/>
      <c r="S3" s="61"/>
      <c r="T3" s="61"/>
      <c r="U3" s="61"/>
      <c r="V3" s="61" t="s">
        <v>230</v>
      </c>
      <c r="W3" s="61"/>
      <c r="X3" s="61"/>
      <c r="Y3" s="61"/>
      <c r="Z3" s="61"/>
      <c r="AA3" s="61" t="s">
        <v>231</v>
      </c>
      <c r="AB3" s="61"/>
      <c r="AC3" s="61"/>
      <c r="AD3" s="61"/>
      <c r="AE3" s="61"/>
      <c r="AF3" s="61" t="s">
        <v>9</v>
      </c>
      <c r="AG3" s="61"/>
      <c r="AH3" s="61"/>
      <c r="AI3" s="61"/>
      <c r="AJ3" s="115"/>
    </row>
    <row r="4" s="1" customFormat="1" ht="60" customHeight="1" spans="1:36">
      <c r="A4" s="62" t="str">
        <f>_xlfn.DISPIMG("ID_D0F335BECB3444AC957DDA6AEF52A8C0",1)</f>
        <v>=DISPIMG("ID_D0F335BECB3444AC957DDA6AEF52A8C0",1)</v>
      </c>
      <c r="B4" s="62"/>
      <c r="C4" s="63" t="s">
        <v>232</v>
      </c>
      <c r="D4" s="64"/>
      <c r="E4" s="64"/>
      <c r="F4" s="180"/>
      <c r="G4" s="181" t="s">
        <v>11</v>
      </c>
      <c r="H4" s="117" t="s">
        <v>233</v>
      </c>
      <c r="I4" s="74"/>
      <c r="J4" s="74"/>
      <c r="K4" s="74"/>
      <c r="L4" s="66" t="s">
        <v>13</v>
      </c>
      <c r="M4" s="98">
        <v>1</v>
      </c>
      <c r="N4" s="99">
        <v>0</v>
      </c>
      <c r="O4" s="66" t="s">
        <v>14</v>
      </c>
      <c r="P4" s="100" t="str">
        <f>_xlfn.DISPIMG("ID_8D1D66EF3C8E4C4DA2C499BD98760604",1)</f>
        <v>=DISPIMG("ID_8D1D66EF3C8E4C4DA2C499BD98760604",1)</v>
      </c>
      <c r="Q4" s="66" t="s">
        <v>13</v>
      </c>
      <c r="R4" s="98">
        <v>0</v>
      </c>
      <c r="S4" s="99">
        <v>1</v>
      </c>
      <c r="T4" s="66" t="s">
        <v>14</v>
      </c>
      <c r="U4" s="100" t="s">
        <v>45</v>
      </c>
      <c r="V4" s="66" t="s">
        <v>13</v>
      </c>
      <c r="W4" s="98">
        <v>1</v>
      </c>
      <c r="X4" s="99">
        <v>0</v>
      </c>
      <c r="Y4" s="66" t="s">
        <v>14</v>
      </c>
      <c r="Z4" s="100" t="s">
        <v>234</v>
      </c>
      <c r="AA4" s="66" t="s">
        <v>13</v>
      </c>
      <c r="AB4" s="98">
        <v>1</v>
      </c>
      <c r="AC4" s="99">
        <v>0</v>
      </c>
      <c r="AD4" s="66" t="s">
        <v>14</v>
      </c>
      <c r="AE4" s="100" t="s">
        <v>44</v>
      </c>
      <c r="AF4" s="66" t="s">
        <v>16</v>
      </c>
      <c r="AG4" s="159" t="s">
        <v>235</v>
      </c>
      <c r="AH4" s="159"/>
      <c r="AI4" s="159"/>
      <c r="AJ4" s="160"/>
    </row>
    <row r="5" s="1" customFormat="1" ht="60" customHeight="1" spans="1:36">
      <c r="A5" s="62"/>
      <c r="B5" s="62"/>
      <c r="C5" s="64"/>
      <c r="D5" s="64"/>
      <c r="E5" s="64"/>
      <c r="F5" s="180"/>
      <c r="G5" s="181" t="s">
        <v>18</v>
      </c>
      <c r="H5" s="119" t="s">
        <v>236</v>
      </c>
      <c r="I5" s="127"/>
      <c r="J5" s="127"/>
      <c r="K5" s="127"/>
      <c r="L5" s="66" t="s">
        <v>20</v>
      </c>
      <c r="M5" s="101">
        <v>0</v>
      </c>
      <c r="N5" s="102">
        <v>0</v>
      </c>
      <c r="O5" s="66" t="s">
        <v>21</v>
      </c>
      <c r="P5" s="100" t="s">
        <v>70</v>
      </c>
      <c r="Q5" s="66" t="s">
        <v>20</v>
      </c>
      <c r="R5" s="101">
        <v>1</v>
      </c>
      <c r="S5" s="102">
        <v>0</v>
      </c>
      <c r="T5" s="66" t="s">
        <v>21</v>
      </c>
      <c r="U5" s="100" t="s">
        <v>45</v>
      </c>
      <c r="V5" s="66" t="s">
        <v>20</v>
      </c>
      <c r="W5" s="101">
        <v>1</v>
      </c>
      <c r="X5" s="102">
        <v>0</v>
      </c>
      <c r="Y5" s="66" t="s">
        <v>21</v>
      </c>
      <c r="Z5" s="100" t="s">
        <v>22</v>
      </c>
      <c r="AA5" s="66" t="s">
        <v>20</v>
      </c>
      <c r="AB5" s="101">
        <v>5</v>
      </c>
      <c r="AC5" s="102">
        <v>0</v>
      </c>
      <c r="AD5" s="66" t="s">
        <v>21</v>
      </c>
      <c r="AE5" s="100" t="s">
        <v>237</v>
      </c>
      <c r="AF5" s="66" t="s">
        <v>24</v>
      </c>
      <c r="AG5" s="215" t="s">
        <v>238</v>
      </c>
      <c r="AH5" s="215"/>
      <c r="AI5" s="215"/>
      <c r="AJ5" s="216"/>
    </row>
    <row r="6" s="1" customFormat="1" ht="60" customHeight="1" spans="1:36">
      <c r="A6" s="69" t="s">
        <v>26</v>
      </c>
      <c r="B6" s="70" t="s">
        <v>239</v>
      </c>
      <c r="C6" s="71"/>
      <c r="D6" s="71"/>
      <c r="E6" s="71"/>
      <c r="F6" s="182"/>
      <c r="G6" s="183"/>
      <c r="H6" s="184"/>
      <c r="I6" s="184"/>
      <c r="J6" s="184"/>
      <c r="K6" s="184"/>
      <c r="L6" s="193" t="s">
        <v>28</v>
      </c>
      <c r="M6" s="230" t="s">
        <v>240</v>
      </c>
      <c r="N6" s="230"/>
      <c r="O6" s="230"/>
      <c r="P6" s="230"/>
      <c r="Q6" s="193" t="s">
        <v>28</v>
      </c>
      <c r="R6" s="203" t="s">
        <v>241</v>
      </c>
      <c r="S6" s="203"/>
      <c r="T6" s="203"/>
      <c r="U6" s="203"/>
      <c r="V6" s="193" t="s">
        <v>28</v>
      </c>
      <c r="W6" s="465" t="s">
        <v>242</v>
      </c>
      <c r="X6" s="234"/>
      <c r="Y6" s="234"/>
      <c r="Z6" s="234"/>
      <c r="AA6" s="193" t="s">
        <v>28</v>
      </c>
      <c r="AB6" s="330" t="s">
        <v>243</v>
      </c>
      <c r="AC6" s="235"/>
      <c r="AD6" s="235"/>
      <c r="AE6" s="235"/>
      <c r="AF6" s="193"/>
      <c r="AG6" s="217"/>
      <c r="AH6" s="217"/>
      <c r="AI6" s="217"/>
      <c r="AJ6" s="218"/>
    </row>
    <row r="7" s="1" customFormat="1" ht="20" customHeight="1" spans="1:36">
      <c r="A7" s="69" t="s">
        <v>33</v>
      </c>
      <c r="B7" s="70" t="s">
        <v>244</v>
      </c>
      <c r="C7" s="72"/>
      <c r="D7" s="72"/>
      <c r="E7" s="72"/>
      <c r="F7" s="180" t="s">
        <v>35</v>
      </c>
      <c r="G7" s="179" t="s">
        <v>36</v>
      </c>
      <c r="H7" s="61"/>
      <c r="I7" s="61"/>
      <c r="J7" s="61"/>
      <c r="K7" s="61"/>
      <c r="L7" s="61" t="s">
        <v>7</v>
      </c>
      <c r="M7" s="61"/>
      <c r="N7" s="61"/>
      <c r="O7" s="61"/>
      <c r="P7" s="61"/>
      <c r="Q7" s="61" t="s">
        <v>245</v>
      </c>
      <c r="R7" s="61"/>
      <c r="S7" s="61"/>
      <c r="T7" s="61"/>
      <c r="U7" s="61"/>
      <c r="V7" s="61" t="s">
        <v>246</v>
      </c>
      <c r="W7" s="61"/>
      <c r="X7" s="61"/>
      <c r="Y7" s="61"/>
      <c r="Z7" s="61"/>
      <c r="AA7" s="61" t="s">
        <v>247</v>
      </c>
      <c r="AB7" s="61"/>
      <c r="AC7" s="61"/>
      <c r="AD7" s="61"/>
      <c r="AE7" s="61"/>
      <c r="AF7" s="61" t="s">
        <v>41</v>
      </c>
      <c r="AG7" s="61"/>
      <c r="AH7" s="61"/>
      <c r="AI7" s="61"/>
      <c r="AJ7" s="115"/>
    </row>
    <row r="8" s="1" customFormat="1" ht="60" customHeight="1" spans="1:36">
      <c r="A8" s="69"/>
      <c r="B8" s="72"/>
      <c r="C8" s="72"/>
      <c r="D8" s="72"/>
      <c r="E8" s="72"/>
      <c r="F8" s="180"/>
      <c r="G8" s="181" t="s">
        <v>11</v>
      </c>
      <c r="H8" s="117" t="s">
        <v>248</v>
      </c>
      <c r="I8" s="74"/>
      <c r="J8" s="74"/>
      <c r="K8" s="74"/>
      <c r="L8" s="66" t="s">
        <v>13</v>
      </c>
      <c r="M8" s="98">
        <v>1</v>
      </c>
      <c r="N8" s="99">
        <v>0</v>
      </c>
      <c r="O8" s="66" t="s">
        <v>14</v>
      </c>
      <c r="P8" s="100" t="str">
        <f>_xlfn.DISPIMG("ID_20CC98ADBEC044A7B2FF7D1435B755A0",1)</f>
        <v>=DISPIMG("ID_20CC98ADBEC044A7B2FF7D1435B755A0",1)</v>
      </c>
      <c r="Q8" s="66" t="s">
        <v>13</v>
      </c>
      <c r="R8" s="98">
        <v>0</v>
      </c>
      <c r="S8" s="99">
        <v>1</v>
      </c>
      <c r="T8" s="66" t="s">
        <v>14</v>
      </c>
      <c r="U8" s="100" t="s">
        <v>45</v>
      </c>
      <c r="V8" s="66" t="s">
        <v>13</v>
      </c>
      <c r="W8" s="98">
        <v>1</v>
      </c>
      <c r="X8" s="99">
        <v>0</v>
      </c>
      <c r="Y8" s="66" t="s">
        <v>14</v>
      </c>
      <c r="Z8" s="100" t="s">
        <v>44</v>
      </c>
      <c r="AA8" s="66" t="s">
        <v>13</v>
      </c>
      <c r="AB8" s="98">
        <v>1</v>
      </c>
      <c r="AC8" s="99">
        <v>0</v>
      </c>
      <c r="AD8" s="66" t="s">
        <v>14</v>
      </c>
      <c r="AE8" s="100" t="s">
        <v>43</v>
      </c>
      <c r="AF8" s="66" t="s">
        <v>16</v>
      </c>
      <c r="AG8" s="159" t="s">
        <v>249</v>
      </c>
      <c r="AH8" s="159"/>
      <c r="AI8" s="159"/>
      <c r="AJ8" s="160"/>
    </row>
    <row r="9" s="1" customFormat="1" ht="60" customHeight="1" spans="1:36">
      <c r="A9" s="69"/>
      <c r="B9" s="72"/>
      <c r="C9" s="72"/>
      <c r="D9" s="72"/>
      <c r="E9" s="72"/>
      <c r="F9" s="180"/>
      <c r="G9" s="181" t="s">
        <v>18</v>
      </c>
      <c r="H9" s="119" t="s">
        <v>250</v>
      </c>
      <c r="I9" s="127"/>
      <c r="J9" s="127"/>
      <c r="K9" s="127"/>
      <c r="L9" s="66" t="s">
        <v>20</v>
      </c>
      <c r="M9" s="101">
        <v>0</v>
      </c>
      <c r="N9" s="102">
        <v>0</v>
      </c>
      <c r="O9" s="66" t="s">
        <v>21</v>
      </c>
      <c r="P9" s="100" t="s">
        <v>23</v>
      </c>
      <c r="Q9" s="66" t="s">
        <v>20</v>
      </c>
      <c r="R9" s="101">
        <v>1</v>
      </c>
      <c r="S9" s="102">
        <v>0</v>
      </c>
      <c r="T9" s="66" t="s">
        <v>21</v>
      </c>
      <c r="U9" s="100" t="s">
        <v>45</v>
      </c>
      <c r="V9" s="66" t="s">
        <v>20</v>
      </c>
      <c r="W9" s="101">
        <v>2</v>
      </c>
      <c r="X9" s="102">
        <v>0</v>
      </c>
      <c r="Y9" s="66" t="s">
        <v>21</v>
      </c>
      <c r="Z9" s="100" t="s">
        <v>23</v>
      </c>
      <c r="AA9" s="66" t="s">
        <v>20</v>
      </c>
      <c r="AB9" s="101">
        <v>2</v>
      </c>
      <c r="AC9" s="102">
        <v>1</v>
      </c>
      <c r="AD9" s="66" t="s">
        <v>21</v>
      </c>
      <c r="AE9" s="100" t="s">
        <v>251</v>
      </c>
      <c r="AF9" s="66" t="s">
        <v>24</v>
      </c>
      <c r="AG9" s="215" t="s">
        <v>252</v>
      </c>
      <c r="AH9" s="214"/>
      <c r="AI9" s="214"/>
      <c r="AJ9" s="464"/>
    </row>
    <row r="10" s="1" customFormat="1" ht="60" customHeight="1" spans="1:36">
      <c r="A10" s="69" t="s">
        <v>49</v>
      </c>
      <c r="B10" s="72" t="s">
        <v>253</v>
      </c>
      <c r="C10" s="71"/>
      <c r="D10" s="71"/>
      <c r="E10" s="71"/>
      <c r="F10" s="180"/>
      <c r="G10" s="183"/>
      <c r="H10" s="184"/>
      <c r="I10" s="184"/>
      <c r="J10" s="184"/>
      <c r="K10" s="184"/>
      <c r="L10" s="193" t="s">
        <v>28</v>
      </c>
      <c r="M10" s="199" t="s">
        <v>254</v>
      </c>
      <c r="N10" s="203"/>
      <c r="O10" s="203"/>
      <c r="P10" s="203"/>
      <c r="Q10" s="193" t="s">
        <v>28</v>
      </c>
      <c r="R10" s="203" t="s">
        <v>255</v>
      </c>
      <c r="S10" s="203"/>
      <c r="T10" s="203"/>
      <c r="U10" s="203"/>
      <c r="V10" s="193" t="s">
        <v>28</v>
      </c>
      <c r="W10" s="202" t="s">
        <v>256</v>
      </c>
      <c r="X10" s="203"/>
      <c r="Y10" s="203"/>
      <c r="Z10" s="203"/>
      <c r="AA10" s="193" t="s">
        <v>28</v>
      </c>
      <c r="AB10" s="344" t="s">
        <v>257</v>
      </c>
      <c r="AC10" s="194"/>
      <c r="AD10" s="194"/>
      <c r="AE10" s="194"/>
      <c r="AF10" s="193"/>
      <c r="AG10" s="467"/>
      <c r="AH10" s="467"/>
      <c r="AI10" s="467"/>
      <c r="AJ10" s="468"/>
    </row>
    <row r="11" s="1" customFormat="1" ht="20" customHeight="1" spans="1:36">
      <c r="A11" s="78"/>
      <c r="B11" s="78"/>
      <c r="C11" s="78"/>
      <c r="D11" s="78"/>
      <c r="E11" s="78"/>
      <c r="F11" s="186" t="s">
        <v>55</v>
      </c>
      <c r="G11" s="179" t="s">
        <v>56</v>
      </c>
      <c r="H11" s="61"/>
      <c r="I11" s="61"/>
      <c r="J11" s="61"/>
      <c r="K11" s="61"/>
      <c r="L11" s="61" t="s">
        <v>258</v>
      </c>
      <c r="M11" s="61"/>
      <c r="N11" s="61"/>
      <c r="O11" s="61"/>
      <c r="P11" s="61"/>
      <c r="Q11" s="61" t="s">
        <v>259</v>
      </c>
      <c r="R11" s="61"/>
      <c r="S11" s="61"/>
      <c r="T11" s="61"/>
      <c r="U11" s="61"/>
      <c r="V11" s="61" t="s">
        <v>260</v>
      </c>
      <c r="W11" s="61"/>
      <c r="X11" s="61"/>
      <c r="Y11" s="61"/>
      <c r="Z11" s="61"/>
      <c r="AA11" s="61" t="s">
        <v>261</v>
      </c>
      <c r="AB11" s="61"/>
      <c r="AC11" s="61"/>
      <c r="AD11" s="61"/>
      <c r="AE11" s="61"/>
      <c r="AF11" s="61" t="s">
        <v>61</v>
      </c>
      <c r="AG11" s="61"/>
      <c r="AH11" s="61"/>
      <c r="AI11" s="61"/>
      <c r="AJ11" s="115"/>
    </row>
    <row r="12" s="1" customFormat="1" ht="60" customHeight="1" spans="1:36">
      <c r="A12" s="79" t="s">
        <v>62</v>
      </c>
      <c r="B12" s="80" t="str">
        <f>_xlfn.DISPIMG("ID_316A60CA24274AFB94C6E5C6072F0571",1)</f>
        <v>=DISPIMG("ID_316A60CA24274AFB94C6E5C6072F0571",1)</v>
      </c>
      <c r="C12" s="80"/>
      <c r="D12" s="80"/>
      <c r="E12" s="80"/>
      <c r="F12" s="180"/>
      <c r="G12" s="181" t="s">
        <v>11</v>
      </c>
      <c r="H12" s="74" t="s">
        <v>262</v>
      </c>
      <c r="I12" s="74"/>
      <c r="J12" s="74"/>
      <c r="K12" s="74"/>
      <c r="L12" s="66" t="s">
        <v>13</v>
      </c>
      <c r="M12" s="98">
        <v>1</v>
      </c>
      <c r="N12" s="99">
        <v>0</v>
      </c>
      <c r="O12" s="66" t="s">
        <v>14</v>
      </c>
      <c r="P12" s="100" t="s">
        <v>45</v>
      </c>
      <c r="Q12" s="66" t="s">
        <v>13</v>
      </c>
      <c r="R12" s="98">
        <v>0</v>
      </c>
      <c r="S12" s="99">
        <v>1</v>
      </c>
      <c r="T12" s="66" t="s">
        <v>14</v>
      </c>
      <c r="U12" s="100" t="s">
        <v>45</v>
      </c>
      <c r="V12" s="66" t="s">
        <v>13</v>
      </c>
      <c r="W12" s="98">
        <v>1</v>
      </c>
      <c r="X12" s="99">
        <v>0</v>
      </c>
      <c r="Y12" s="66" t="s">
        <v>14</v>
      </c>
      <c r="Z12" s="100" t="s">
        <v>45</v>
      </c>
      <c r="AA12" s="66" t="s">
        <v>13</v>
      </c>
      <c r="AB12" s="98">
        <v>0</v>
      </c>
      <c r="AC12" s="99">
        <v>1</v>
      </c>
      <c r="AD12" s="66" t="s">
        <v>14</v>
      </c>
      <c r="AE12" s="100" t="s">
        <v>45</v>
      </c>
      <c r="AF12" s="66" t="s">
        <v>16</v>
      </c>
      <c r="AG12" s="164" t="s">
        <v>263</v>
      </c>
      <c r="AH12" s="164"/>
      <c r="AI12" s="164"/>
      <c r="AJ12" s="165"/>
    </row>
    <row r="13" s="1" customFormat="1" ht="60" customHeight="1" spans="1:36">
      <c r="A13" s="82"/>
      <c r="B13" s="80"/>
      <c r="C13" s="80"/>
      <c r="D13" s="80"/>
      <c r="E13" s="80"/>
      <c r="F13" s="180"/>
      <c r="G13" s="181" t="s">
        <v>18</v>
      </c>
      <c r="H13" s="127" t="s">
        <v>264</v>
      </c>
      <c r="I13" s="127"/>
      <c r="J13" s="127"/>
      <c r="K13" s="127"/>
      <c r="L13" s="66" t="s">
        <v>20</v>
      </c>
      <c r="M13" s="101">
        <v>0</v>
      </c>
      <c r="N13" s="102">
        <v>0</v>
      </c>
      <c r="O13" s="66" t="s">
        <v>21</v>
      </c>
      <c r="P13" s="100" t="s">
        <v>45</v>
      </c>
      <c r="Q13" s="66" t="s">
        <v>20</v>
      </c>
      <c r="R13" s="101">
        <v>2</v>
      </c>
      <c r="S13" s="102">
        <v>0</v>
      </c>
      <c r="T13" s="66" t="s">
        <v>21</v>
      </c>
      <c r="U13" s="100" t="s">
        <v>45</v>
      </c>
      <c r="V13" s="66" t="s">
        <v>20</v>
      </c>
      <c r="W13" s="101">
        <v>3</v>
      </c>
      <c r="X13" s="102">
        <v>0</v>
      </c>
      <c r="Y13" s="66" t="s">
        <v>21</v>
      </c>
      <c r="Z13" s="100" t="s">
        <v>45</v>
      </c>
      <c r="AA13" s="66" t="s">
        <v>20</v>
      </c>
      <c r="AB13" s="101">
        <v>0</v>
      </c>
      <c r="AC13" s="102">
        <v>1</v>
      </c>
      <c r="AD13" s="66" t="s">
        <v>21</v>
      </c>
      <c r="AE13" s="100" t="s">
        <v>45</v>
      </c>
      <c r="AF13" s="66" t="s">
        <v>24</v>
      </c>
      <c r="AG13" s="214" t="s">
        <v>265</v>
      </c>
      <c r="AH13" s="214"/>
      <c r="AI13" s="214"/>
      <c r="AJ13" s="464"/>
    </row>
    <row r="14" s="1" customFormat="1" ht="60" customHeight="1" spans="1:36">
      <c r="A14" s="82"/>
      <c r="B14" s="80"/>
      <c r="C14" s="80"/>
      <c r="D14" s="80"/>
      <c r="E14" s="80"/>
      <c r="F14" s="182"/>
      <c r="G14" s="183"/>
      <c r="H14" s="184"/>
      <c r="I14" s="184"/>
      <c r="J14" s="184"/>
      <c r="K14" s="184"/>
      <c r="L14" s="193" t="s">
        <v>28</v>
      </c>
      <c r="M14" s="229" t="s">
        <v>266</v>
      </c>
      <c r="N14" s="195"/>
      <c r="O14" s="195"/>
      <c r="P14" s="195"/>
      <c r="Q14" s="193" t="s">
        <v>28</v>
      </c>
      <c r="R14" s="203" t="s">
        <v>267</v>
      </c>
      <c r="S14" s="203"/>
      <c r="T14" s="203"/>
      <c r="U14" s="203"/>
      <c r="V14" s="193" t="s">
        <v>28</v>
      </c>
      <c r="W14" s="203" t="s">
        <v>268</v>
      </c>
      <c r="X14" s="194"/>
      <c r="Y14" s="194"/>
      <c r="Z14" s="194"/>
      <c r="AA14" s="193" t="s">
        <v>28</v>
      </c>
      <c r="AB14" s="230" t="s">
        <v>269</v>
      </c>
      <c r="AC14" s="195"/>
      <c r="AD14" s="195"/>
      <c r="AE14" s="195"/>
      <c r="AF14" s="193"/>
      <c r="AG14" s="467"/>
      <c r="AH14" s="467"/>
      <c r="AI14" s="467"/>
      <c r="AJ14" s="468"/>
    </row>
    <row r="15" s="1" customFormat="1" ht="20" customHeight="1" spans="1:36">
      <c r="A15" s="83"/>
      <c r="B15" s="83"/>
      <c r="C15" s="83"/>
      <c r="D15" s="83"/>
      <c r="E15" s="83"/>
      <c r="F15" s="180" t="s">
        <v>77</v>
      </c>
      <c r="G15" s="179" t="s">
        <v>78</v>
      </c>
      <c r="H15" s="61"/>
      <c r="I15" s="61"/>
      <c r="J15" s="61"/>
      <c r="K15" s="61"/>
      <c r="L15" s="61" t="s">
        <v>270</v>
      </c>
      <c r="M15" s="61"/>
      <c r="N15" s="61"/>
      <c r="O15" s="61"/>
      <c r="P15" s="61"/>
      <c r="Q15" s="61" t="s">
        <v>271</v>
      </c>
      <c r="R15" s="61"/>
      <c r="S15" s="61"/>
      <c r="T15" s="61"/>
      <c r="U15" s="61"/>
      <c r="V15" s="61" t="s">
        <v>272</v>
      </c>
      <c r="W15" s="61"/>
      <c r="X15" s="61"/>
      <c r="Y15" s="61"/>
      <c r="Z15" s="61"/>
      <c r="AA15" s="61" t="s">
        <v>273</v>
      </c>
      <c r="AB15" s="61"/>
      <c r="AC15" s="61"/>
      <c r="AD15" s="61"/>
      <c r="AE15" s="61"/>
      <c r="AF15" s="61" t="s">
        <v>78</v>
      </c>
      <c r="AG15" s="61"/>
      <c r="AH15" s="61"/>
      <c r="AI15" s="61"/>
      <c r="AJ15" s="115"/>
    </row>
    <row r="16" s="1" customFormat="1" ht="60" customHeight="1" spans="1:36">
      <c r="A16" s="85" t="s">
        <v>83</v>
      </c>
      <c r="B16" s="86" t="s">
        <v>274</v>
      </c>
      <c r="C16" s="87"/>
      <c r="D16" s="87"/>
      <c r="E16" s="87"/>
      <c r="F16" s="180"/>
      <c r="G16" s="181" t="s">
        <v>11</v>
      </c>
      <c r="H16" s="159" t="s">
        <v>275</v>
      </c>
      <c r="I16" s="159"/>
      <c r="J16" s="159"/>
      <c r="K16" s="159"/>
      <c r="L16" s="66" t="s">
        <v>13</v>
      </c>
      <c r="M16" s="98">
        <v>1</v>
      </c>
      <c r="N16" s="99">
        <v>0</v>
      </c>
      <c r="O16" s="66" t="s">
        <v>14</v>
      </c>
      <c r="P16" s="100" t="s">
        <v>45</v>
      </c>
      <c r="Q16" s="66" t="s">
        <v>13</v>
      </c>
      <c r="R16" s="98">
        <v>0</v>
      </c>
      <c r="S16" s="99">
        <v>1</v>
      </c>
      <c r="T16" s="66" t="s">
        <v>14</v>
      </c>
      <c r="U16" s="100" t="s">
        <v>45</v>
      </c>
      <c r="V16" s="66" t="s">
        <v>13</v>
      </c>
      <c r="W16" s="98">
        <v>1</v>
      </c>
      <c r="X16" s="99">
        <v>0</v>
      </c>
      <c r="Y16" s="66" t="s">
        <v>14</v>
      </c>
      <c r="Z16" s="100" t="str">
        <f>_xlfn.DISPIMG("ID_2792D848DF4345389745B1B20C4C0918",1)</f>
        <v>=DISPIMG("ID_2792D848DF4345389745B1B20C4C0918",1)</v>
      </c>
      <c r="AA16" s="66" t="s">
        <v>13</v>
      </c>
      <c r="AB16" s="98">
        <v>1</v>
      </c>
      <c r="AC16" s="99">
        <v>1</v>
      </c>
      <c r="AD16" s="66" t="s">
        <v>14</v>
      </c>
      <c r="AE16" s="100" t="s">
        <v>45</v>
      </c>
      <c r="AF16" s="66" t="s">
        <v>11</v>
      </c>
      <c r="AG16" s="164" t="s">
        <v>276</v>
      </c>
      <c r="AH16" s="164"/>
      <c r="AI16" s="164"/>
      <c r="AJ16" s="165"/>
    </row>
    <row r="17" s="1" customFormat="1" ht="60" customHeight="1" spans="1:36">
      <c r="A17" s="85" t="s">
        <v>87</v>
      </c>
      <c r="B17" s="86" t="s">
        <v>84</v>
      </c>
      <c r="C17" s="87"/>
      <c r="D17" s="87"/>
      <c r="E17" s="87"/>
      <c r="F17" s="180"/>
      <c r="G17" s="181" t="s">
        <v>18</v>
      </c>
      <c r="H17" s="215" t="s">
        <v>277</v>
      </c>
      <c r="I17" s="215"/>
      <c r="J17" s="215"/>
      <c r="K17" s="215"/>
      <c r="L17" s="66" t="s">
        <v>20</v>
      </c>
      <c r="M17" s="101">
        <v>5</v>
      </c>
      <c r="N17" s="102">
        <v>0</v>
      </c>
      <c r="O17" s="66" t="s">
        <v>21</v>
      </c>
      <c r="P17" s="100" t="s">
        <v>45</v>
      </c>
      <c r="Q17" s="66" t="s">
        <v>20</v>
      </c>
      <c r="R17" s="101">
        <v>3</v>
      </c>
      <c r="S17" s="102">
        <v>0</v>
      </c>
      <c r="T17" s="66" t="s">
        <v>21</v>
      </c>
      <c r="U17" s="100" t="s">
        <v>45</v>
      </c>
      <c r="V17" s="66" t="s">
        <v>20</v>
      </c>
      <c r="W17" s="101">
        <v>2</v>
      </c>
      <c r="X17" s="102">
        <v>0</v>
      </c>
      <c r="Y17" s="66" t="s">
        <v>21</v>
      </c>
      <c r="Z17" s="100" t="s">
        <v>22</v>
      </c>
      <c r="AA17" s="66" t="s">
        <v>20</v>
      </c>
      <c r="AB17" s="101">
        <v>12</v>
      </c>
      <c r="AC17" s="102">
        <v>3</v>
      </c>
      <c r="AD17" s="66" t="s">
        <v>21</v>
      </c>
      <c r="AE17" s="100" t="s">
        <v>45</v>
      </c>
      <c r="AF17" s="66" t="s">
        <v>18</v>
      </c>
      <c r="AG17" s="214" t="s">
        <v>278</v>
      </c>
      <c r="AH17" s="214"/>
      <c r="AI17" s="214"/>
      <c r="AJ17" s="464"/>
    </row>
    <row r="18" s="1" customFormat="1" ht="60" customHeight="1" spans="1:36">
      <c r="A18" s="90" t="s">
        <v>151</v>
      </c>
      <c r="B18" s="91" t="s">
        <v>279</v>
      </c>
      <c r="C18" s="92"/>
      <c r="D18" s="92"/>
      <c r="E18" s="92"/>
      <c r="F18" s="189"/>
      <c r="G18" s="190"/>
      <c r="H18" s="378"/>
      <c r="I18" s="378"/>
      <c r="J18" s="378"/>
      <c r="K18" s="378"/>
      <c r="L18" s="94" t="s">
        <v>28</v>
      </c>
      <c r="M18" s="198" t="s">
        <v>280</v>
      </c>
      <c r="N18" s="196"/>
      <c r="O18" s="196"/>
      <c r="P18" s="196"/>
      <c r="Q18" s="94" t="s">
        <v>28</v>
      </c>
      <c r="R18" s="466" t="s">
        <v>281</v>
      </c>
      <c r="S18" s="466"/>
      <c r="T18" s="466"/>
      <c r="U18" s="466"/>
      <c r="V18" s="94" t="s">
        <v>28</v>
      </c>
      <c r="W18" s="196" t="s">
        <v>282</v>
      </c>
      <c r="X18" s="466"/>
      <c r="Y18" s="466"/>
      <c r="Z18" s="466"/>
      <c r="AA18" s="94" t="s">
        <v>28</v>
      </c>
      <c r="AB18" s="466" t="s">
        <v>283</v>
      </c>
      <c r="AC18" s="196"/>
      <c r="AD18" s="196"/>
      <c r="AE18" s="196"/>
      <c r="AF18" s="94"/>
      <c r="AG18" s="469"/>
      <c r="AH18" s="469"/>
      <c r="AI18" s="469"/>
      <c r="AJ18" s="470"/>
    </row>
    <row r="47" spans="18:18">
      <c r="R47"/>
    </row>
  </sheetData>
  <sheetProtection selectLockedCells="1" formatCells="0" formatColumns="0" formatRows="0" insertRows="0" insertColumns="0" insertHyperlinks="0" deleteColumns="0" deleteRows="0" sort="0" autoFilter="0" pivotTables="0"/>
  <mergeCells count="86">
    <mergeCell ref="B1:C1"/>
    <mergeCell ref="D1:E1"/>
    <mergeCell ref="L1:P1"/>
    <mergeCell ref="Q1:U1"/>
    <mergeCell ref="V1:Z1"/>
    <mergeCell ref="AA1:AE1"/>
    <mergeCell ref="AF1:AJ1"/>
    <mergeCell ref="G3:K3"/>
    <mergeCell ref="L3:P3"/>
    <mergeCell ref="Q3:U3"/>
    <mergeCell ref="V3:Z3"/>
    <mergeCell ref="AA3:AE3"/>
    <mergeCell ref="AF3:AJ3"/>
    <mergeCell ref="H4:K4"/>
    <mergeCell ref="AG4:AJ4"/>
    <mergeCell ref="B6:E6"/>
    <mergeCell ref="M6:P6"/>
    <mergeCell ref="R6:U6"/>
    <mergeCell ref="W6:Z6"/>
    <mergeCell ref="AB6:AE6"/>
    <mergeCell ref="G7:K7"/>
    <mergeCell ref="L7:P7"/>
    <mergeCell ref="Q7:U7"/>
    <mergeCell ref="V7:Z7"/>
    <mergeCell ref="AA7:AE7"/>
    <mergeCell ref="AF7:AJ7"/>
    <mergeCell ref="H8:K8"/>
    <mergeCell ref="AG8:AJ8"/>
    <mergeCell ref="B10:E10"/>
    <mergeCell ref="M10:P10"/>
    <mergeCell ref="R10:U10"/>
    <mergeCell ref="W10:Z10"/>
    <mergeCell ref="AB10:AE10"/>
    <mergeCell ref="G11:K11"/>
    <mergeCell ref="L11:P11"/>
    <mergeCell ref="Q11:U11"/>
    <mergeCell ref="V11:Z11"/>
    <mergeCell ref="AA11:AE11"/>
    <mergeCell ref="AF11:AJ11"/>
    <mergeCell ref="H12:K12"/>
    <mergeCell ref="AG12:AJ12"/>
    <mergeCell ref="M14:P14"/>
    <mergeCell ref="R14:U14"/>
    <mergeCell ref="W14:Z14"/>
    <mergeCell ref="AB14:AE14"/>
    <mergeCell ref="G15:K15"/>
    <mergeCell ref="L15:P15"/>
    <mergeCell ref="Q15:U15"/>
    <mergeCell ref="V15:Z15"/>
    <mergeCell ref="AA15:AE15"/>
    <mergeCell ref="AF15:AJ15"/>
    <mergeCell ref="B16:E16"/>
    <mergeCell ref="H16:K16"/>
    <mergeCell ref="AG16:AJ16"/>
    <mergeCell ref="B17:E17"/>
    <mergeCell ref="B18:E18"/>
    <mergeCell ref="M18:P18"/>
    <mergeCell ref="R18:U18"/>
    <mergeCell ref="W18:Z18"/>
    <mergeCell ref="AB18:AE18"/>
    <mergeCell ref="A7:A9"/>
    <mergeCell ref="A12:A14"/>
    <mergeCell ref="F3:F6"/>
    <mergeCell ref="F7:F10"/>
    <mergeCell ref="F11:F14"/>
    <mergeCell ref="F15:F18"/>
    <mergeCell ref="G5:G6"/>
    <mergeCell ref="G9:G10"/>
    <mergeCell ref="G13:G14"/>
    <mergeCell ref="G17:G18"/>
    <mergeCell ref="AF5:AF6"/>
    <mergeCell ref="AF9:AF10"/>
    <mergeCell ref="AF13:AF14"/>
    <mergeCell ref="AF17:AF18"/>
    <mergeCell ref="A4:B5"/>
    <mergeCell ref="C4:E5"/>
    <mergeCell ref="B7:E9"/>
    <mergeCell ref="H5:K6"/>
    <mergeCell ref="AG5:AJ6"/>
    <mergeCell ref="H9:K10"/>
    <mergeCell ref="AG9:AJ10"/>
    <mergeCell ref="H13:K14"/>
    <mergeCell ref="AG13:AJ14"/>
    <mergeCell ref="H17:K18"/>
    <mergeCell ref="AG17:AJ18"/>
    <mergeCell ref="B12:E14"/>
  </mergeCells>
  <conditionalFormatting sqref="M4">
    <cfRule type="cellIs" dxfId="0" priority="46" operator="equal">
      <formula>0</formula>
    </cfRule>
  </conditionalFormatting>
  <conditionalFormatting sqref="N4">
    <cfRule type="cellIs" dxfId="0" priority="47" operator="equal">
      <formula>0</formula>
    </cfRule>
  </conditionalFormatting>
  <conditionalFormatting sqref="R4">
    <cfRule type="cellIs" dxfId="0" priority="28" operator="equal">
      <formula>0</formula>
    </cfRule>
  </conditionalFormatting>
  <conditionalFormatting sqref="S4">
    <cfRule type="cellIs" dxfId="0" priority="29" operator="equal">
      <formula>0</formula>
    </cfRule>
  </conditionalFormatting>
  <conditionalFormatting sqref="W4">
    <cfRule type="cellIs" dxfId="0" priority="16" operator="equal">
      <formula>0</formula>
    </cfRule>
  </conditionalFormatting>
  <conditionalFormatting sqref="X4">
    <cfRule type="cellIs" dxfId="0" priority="17" operator="equal">
      <formula>0</formula>
    </cfRule>
  </conditionalFormatting>
  <conditionalFormatting sqref="AB4">
    <cfRule type="cellIs" dxfId="0" priority="43" operator="equal">
      <formula>0</formula>
    </cfRule>
  </conditionalFormatting>
  <conditionalFormatting sqref="AC4">
    <cfRule type="cellIs" dxfId="0" priority="44" operator="equal">
      <formula>0</formula>
    </cfRule>
  </conditionalFormatting>
  <conditionalFormatting sqref="M8">
    <cfRule type="cellIs" dxfId="0" priority="19" operator="equal">
      <formula>0</formula>
    </cfRule>
  </conditionalFormatting>
  <conditionalFormatting sqref="N8">
    <cfRule type="cellIs" dxfId="0" priority="20" operator="equal">
      <formula>0</formula>
    </cfRule>
  </conditionalFormatting>
  <conditionalFormatting sqref="R8">
    <cfRule type="cellIs" dxfId="0" priority="25" operator="equal">
      <formula>0</formula>
    </cfRule>
  </conditionalFormatting>
  <conditionalFormatting sqref="S8">
    <cfRule type="cellIs" dxfId="0" priority="26" operator="equal">
      <formula>0</formula>
    </cfRule>
  </conditionalFormatting>
  <conditionalFormatting sqref="W8">
    <cfRule type="cellIs" dxfId="0" priority="13" operator="equal">
      <formula>0</formula>
    </cfRule>
  </conditionalFormatting>
  <conditionalFormatting sqref="X8">
    <cfRule type="cellIs" dxfId="0" priority="14" operator="equal">
      <formula>0</formula>
    </cfRule>
  </conditionalFormatting>
  <conditionalFormatting sqref="AB8">
    <cfRule type="cellIs" dxfId="0" priority="37" operator="equal">
      <formula>0</formula>
    </cfRule>
  </conditionalFormatting>
  <conditionalFormatting sqref="AC8">
    <cfRule type="cellIs" dxfId="0" priority="38" operator="equal">
      <formula>0</formula>
    </cfRule>
  </conditionalFormatting>
  <conditionalFormatting sqref="M12">
    <cfRule type="cellIs" dxfId="0" priority="22" operator="equal">
      <formula>0</formula>
    </cfRule>
  </conditionalFormatting>
  <conditionalFormatting sqref="N12">
    <cfRule type="cellIs" dxfId="0" priority="23" operator="equal">
      <formula>0</formula>
    </cfRule>
  </conditionalFormatting>
  <conditionalFormatting sqref="R12">
    <cfRule type="cellIs" dxfId="0" priority="34" operator="equal">
      <formula>0</formula>
    </cfRule>
  </conditionalFormatting>
  <conditionalFormatting sqref="S12">
    <cfRule type="cellIs" dxfId="0" priority="35" operator="equal">
      <formula>0</formula>
    </cfRule>
  </conditionalFormatting>
  <conditionalFormatting sqref="W12">
    <cfRule type="cellIs" dxfId="0" priority="1" operator="equal">
      <formula>0</formula>
    </cfRule>
  </conditionalFormatting>
  <conditionalFormatting sqref="X12">
    <cfRule type="cellIs" dxfId="0" priority="2" operator="equal">
      <formula>0</formula>
    </cfRule>
  </conditionalFormatting>
  <conditionalFormatting sqref="AB12">
    <cfRule type="cellIs" dxfId="0" priority="31" operator="equal">
      <formula>0</formula>
    </cfRule>
  </conditionalFormatting>
  <conditionalFormatting sqref="AC12">
    <cfRule type="cellIs" dxfId="0" priority="32" operator="equal">
      <formula>0</formula>
    </cfRule>
  </conditionalFormatting>
  <conditionalFormatting sqref="M16">
    <cfRule type="cellIs" dxfId="0" priority="10" operator="equal">
      <formula>0</formula>
    </cfRule>
  </conditionalFormatting>
  <conditionalFormatting sqref="N16">
    <cfRule type="cellIs" dxfId="0" priority="11" operator="equal">
      <formula>0</formula>
    </cfRule>
  </conditionalFormatting>
  <conditionalFormatting sqref="R16">
    <cfRule type="cellIs" dxfId="0" priority="7" operator="equal">
      <formula>0</formula>
    </cfRule>
  </conditionalFormatting>
  <conditionalFormatting sqref="S16">
    <cfRule type="cellIs" dxfId="0" priority="8" operator="equal">
      <formula>0</formula>
    </cfRule>
  </conditionalFormatting>
  <conditionalFormatting sqref="W16">
    <cfRule type="cellIs" dxfId="0" priority="4" operator="equal">
      <formula>0</formula>
    </cfRule>
  </conditionalFormatting>
  <conditionalFormatting sqref="X16">
    <cfRule type="cellIs" dxfId="0" priority="5" operator="equal">
      <formula>0</formula>
    </cfRule>
  </conditionalFormatting>
  <conditionalFormatting sqref="AB16">
    <cfRule type="cellIs" dxfId="0" priority="40" operator="equal">
      <formula>0</formula>
    </cfRule>
  </conditionalFormatting>
  <conditionalFormatting sqref="AC16">
    <cfRule type="cellIs" dxfId="0" priority="41" operator="equal">
      <formula>0</formula>
    </cfRule>
  </conditionalFormatting>
  <conditionalFormatting sqref="M4:N5">
    <cfRule type="cellIs" dxfId="1" priority="48" operator="equal">
      <formula>0</formula>
    </cfRule>
  </conditionalFormatting>
  <conditionalFormatting sqref="R4:S5">
    <cfRule type="cellIs" dxfId="1" priority="30" operator="equal">
      <formula>0</formula>
    </cfRule>
  </conditionalFormatting>
  <conditionalFormatting sqref="W4:X5">
    <cfRule type="cellIs" dxfId="1" priority="18" operator="equal">
      <formula>0</formula>
    </cfRule>
  </conditionalFormatting>
  <conditionalFormatting sqref="AB4:AC5">
    <cfRule type="cellIs" dxfId="1" priority="45" operator="equal">
      <formula>0</formula>
    </cfRule>
  </conditionalFormatting>
  <conditionalFormatting sqref="M8:N9">
    <cfRule type="cellIs" dxfId="1" priority="21" operator="equal">
      <formula>0</formula>
    </cfRule>
  </conditionalFormatting>
  <conditionalFormatting sqref="R8:S9">
    <cfRule type="cellIs" dxfId="1" priority="27" operator="equal">
      <formula>0</formula>
    </cfRule>
  </conditionalFormatting>
  <conditionalFormatting sqref="W8:X9">
    <cfRule type="cellIs" dxfId="1" priority="15" operator="equal">
      <formula>0</formula>
    </cfRule>
  </conditionalFormatting>
  <conditionalFormatting sqref="AB8:AC9">
    <cfRule type="cellIs" dxfId="1" priority="39" operator="equal">
      <formula>0</formula>
    </cfRule>
  </conditionalFormatting>
  <conditionalFormatting sqref="M12:N13">
    <cfRule type="cellIs" dxfId="1" priority="24" operator="equal">
      <formula>0</formula>
    </cfRule>
  </conditionalFormatting>
  <conditionalFormatting sqref="R12:S13">
    <cfRule type="cellIs" dxfId="1" priority="36" operator="equal">
      <formula>0</formula>
    </cfRule>
  </conditionalFormatting>
  <conditionalFormatting sqref="W12:X13">
    <cfRule type="cellIs" dxfId="1" priority="3" operator="equal">
      <formula>0</formula>
    </cfRule>
  </conditionalFormatting>
  <conditionalFormatting sqref="AB12:AC13">
    <cfRule type="cellIs" dxfId="1" priority="33" operator="equal">
      <formula>0</formula>
    </cfRule>
  </conditionalFormatting>
  <conditionalFormatting sqref="M16:N17">
    <cfRule type="cellIs" dxfId="1" priority="12" operator="equal">
      <formula>0</formula>
    </cfRule>
  </conditionalFormatting>
  <conditionalFormatting sqref="R16:S17">
    <cfRule type="cellIs" dxfId="1" priority="9" operator="equal">
      <formula>0</formula>
    </cfRule>
  </conditionalFormatting>
  <conditionalFormatting sqref="W16:X17">
    <cfRule type="cellIs" dxfId="1" priority="6" operator="equal">
      <formula>0</formula>
    </cfRule>
  </conditionalFormatting>
  <conditionalFormatting sqref="AB16:AC17">
    <cfRule type="cellIs" dxfId="1" priority="42" operator="equal">
      <formula>0</formula>
    </cfRule>
  </conditionalFormatting>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AJ46"/>
  <sheetViews>
    <sheetView showGridLines="0" zoomScale="85" zoomScaleNormal="85" topLeftCell="H6" workbookViewId="0">
      <selection activeCell="AB14" sqref="AB14:AE14"/>
    </sheetView>
  </sheetViews>
  <sheetFormatPr defaultColWidth="8.89090909090909" defaultRowHeight="16.5"/>
  <cols>
    <col min="1" max="1" width="9.14545454545454" style="1" customWidth="1"/>
    <col min="2" max="4" width="8.89090909090909" style="1"/>
    <col min="5" max="5" width="9.83636363636364" style="1" customWidth="1"/>
    <col min="6" max="6" width="4.34545454545455" style="1" customWidth="1"/>
    <col min="7" max="7" width="5.71818181818182" style="1" customWidth="1"/>
    <col min="8" max="8" width="8.89090909090909" style="1"/>
    <col min="9" max="9" width="9.83636363636364" style="1" customWidth="1"/>
    <col min="10" max="10" width="6.97272727272727" style="1" customWidth="1"/>
    <col min="11" max="11" width="8.89090909090909" style="1"/>
    <col min="12" max="12" width="5.77272727272727" style="1" customWidth="1"/>
    <col min="13" max="14" width="8.77272727272727" style="1" customWidth="1"/>
    <col min="15" max="15" width="5.77272727272727" style="1" customWidth="1"/>
    <col min="16" max="16" width="16.8272727272727" style="1" customWidth="1"/>
    <col min="17" max="17" width="5.77272727272727" style="1" customWidth="1"/>
    <col min="18" max="19" width="8.77272727272727" style="1" customWidth="1"/>
    <col min="20" max="20" width="5.77272727272727" style="1" customWidth="1"/>
    <col min="21" max="21" width="14.7727272727273" style="1" customWidth="1"/>
    <col min="22" max="22" width="5.77272727272727" style="1" customWidth="1"/>
    <col min="23" max="24" width="8.77272727272727" style="1" customWidth="1"/>
    <col min="25" max="25" width="5.77272727272727" style="1" customWidth="1"/>
    <col min="26" max="26" width="14.7727272727273" style="1" customWidth="1"/>
    <col min="27" max="27" width="5.77272727272727" style="1" customWidth="1"/>
    <col min="28" max="29" width="8.77272727272727" style="1" customWidth="1"/>
    <col min="30" max="30" width="5.77272727272727" style="1" customWidth="1"/>
    <col min="31" max="31" width="14.7727272727273" style="1" customWidth="1"/>
    <col min="32" max="32" width="5.71818181818182" style="1" customWidth="1"/>
    <col min="33" max="16384" width="8.89090909090909" style="1"/>
  </cols>
  <sheetData>
    <row r="1" ht="61" customHeight="1" spans="1:36">
      <c r="A1" s="53" t="str">
        <f>_xlfn.DISPIMG("ID_CFCF10DCBA314A9AA5E7CA7AD8D31697",1)</f>
        <v>=DISPIMG("ID_CFCF10DCBA314A9AA5E7CA7AD8D31697",1)</v>
      </c>
      <c r="B1" s="54" t="s">
        <v>226</v>
      </c>
      <c r="C1" s="54"/>
      <c r="D1" s="55" t="s">
        <v>1</v>
      </c>
      <c r="E1" s="56"/>
      <c r="F1" s="5"/>
      <c r="L1" s="109"/>
      <c r="M1" s="5"/>
      <c r="N1" s="5"/>
      <c r="O1" s="5"/>
      <c r="P1" s="5"/>
      <c r="Q1" s="109"/>
      <c r="R1" s="5"/>
      <c r="S1" s="5"/>
      <c r="T1" s="5"/>
      <c r="U1" s="5"/>
      <c r="V1" s="109"/>
      <c r="W1" s="5"/>
      <c r="X1" s="5"/>
      <c r="Y1" s="5"/>
      <c r="Z1" s="5"/>
      <c r="AA1" s="109"/>
      <c r="AB1" s="5"/>
      <c r="AC1" s="5"/>
      <c r="AD1" s="5"/>
      <c r="AE1" s="5"/>
      <c r="AF1" s="205" t="s">
        <v>284</v>
      </c>
      <c r="AG1" s="208"/>
      <c r="AH1" s="208"/>
      <c r="AI1" s="208"/>
      <c r="AJ1" s="208"/>
    </row>
    <row r="2" ht="12" customHeight="1" spans="1:31">
      <c r="A2" s="58"/>
      <c r="B2" s="58"/>
      <c r="C2" s="58"/>
      <c r="D2" s="58"/>
      <c r="E2" s="58"/>
      <c r="F2" s="59"/>
      <c r="L2" s="97"/>
      <c r="M2" s="59"/>
      <c r="N2" s="59"/>
      <c r="O2" s="59"/>
      <c r="P2" s="59"/>
      <c r="Q2" s="97"/>
      <c r="R2" s="59"/>
      <c r="S2" s="59"/>
      <c r="T2" s="59"/>
      <c r="U2" s="59"/>
      <c r="V2" s="97"/>
      <c r="W2" s="59"/>
      <c r="X2" s="59"/>
      <c r="Y2" s="59"/>
      <c r="Z2" s="59"/>
      <c r="AA2" s="97"/>
      <c r="AB2" s="59"/>
      <c r="AC2" s="59"/>
      <c r="AD2" s="59"/>
      <c r="AE2" s="59"/>
    </row>
    <row r="3" ht="15" customHeight="1" spans="1:36">
      <c r="A3" s="58"/>
      <c r="B3" s="58"/>
      <c r="C3" s="58"/>
      <c r="D3" s="58"/>
      <c r="E3" s="58"/>
      <c r="F3" s="60" t="s">
        <v>3</v>
      </c>
      <c r="G3" s="61" t="s">
        <v>4</v>
      </c>
      <c r="H3" s="61"/>
      <c r="I3" s="61"/>
      <c r="J3" s="61"/>
      <c r="K3" s="61"/>
      <c r="L3" s="61" t="s">
        <v>228</v>
      </c>
      <c r="M3" s="61"/>
      <c r="N3" s="61"/>
      <c r="O3" s="61"/>
      <c r="P3" s="61"/>
      <c r="Q3" s="61" t="s">
        <v>285</v>
      </c>
      <c r="R3" s="61"/>
      <c r="S3" s="61"/>
      <c r="T3" s="61"/>
      <c r="U3" s="61"/>
      <c r="V3" s="61" t="s">
        <v>286</v>
      </c>
      <c r="W3" s="61"/>
      <c r="X3" s="61"/>
      <c r="Y3" s="61"/>
      <c r="Z3" s="61"/>
      <c r="AA3" s="106" t="s">
        <v>287</v>
      </c>
      <c r="AB3" s="61"/>
      <c r="AC3" s="61"/>
      <c r="AD3" s="61"/>
      <c r="AE3" s="61"/>
      <c r="AF3" s="61" t="s">
        <v>9</v>
      </c>
      <c r="AG3" s="61"/>
      <c r="AH3" s="61"/>
      <c r="AI3" s="61"/>
      <c r="AJ3" s="115"/>
    </row>
    <row r="4" ht="48" customHeight="1" spans="1:36">
      <c r="A4" s="62" t="str">
        <f>_xlfn.DISPIMG("ID_B67E5DDDEF70426CA019D046D94CEEC1",1)</f>
        <v>=DISPIMG("ID_B67E5DDDEF70426CA019D046D94CEEC1",1)</v>
      </c>
      <c r="B4" s="62"/>
      <c r="C4" s="63" t="s">
        <v>288</v>
      </c>
      <c r="D4" s="64"/>
      <c r="E4" s="64"/>
      <c r="F4" s="65"/>
      <c r="G4" s="66" t="s">
        <v>11</v>
      </c>
      <c r="H4" s="117" t="s">
        <v>289</v>
      </c>
      <c r="I4" s="74"/>
      <c r="J4" s="74"/>
      <c r="K4" s="74"/>
      <c r="L4" s="66" t="s">
        <v>13</v>
      </c>
      <c r="M4" s="98">
        <v>0</v>
      </c>
      <c r="N4" s="99">
        <v>0</v>
      </c>
      <c r="O4" s="66" t="s">
        <v>14</v>
      </c>
      <c r="P4" s="100" t="str">
        <f>_xlfn.DISPIMG("ID_8D1D66EF3C8E4C4DA2C499BD98760604",1)</f>
        <v>=DISPIMG("ID_8D1D66EF3C8E4C4DA2C499BD98760604",1)</v>
      </c>
      <c r="Q4" s="66" t="s">
        <v>13</v>
      </c>
      <c r="R4" s="98">
        <v>1</v>
      </c>
      <c r="S4" s="99">
        <v>0</v>
      </c>
      <c r="T4" s="66" t="s">
        <v>14</v>
      </c>
      <c r="U4" s="100" t="str">
        <f>_xlfn.DISPIMG("ID_6E6B59E639884C05B5C7574D29E44A07",1)</f>
        <v>=DISPIMG("ID_6E6B59E639884C05B5C7574D29E44A07",1)</v>
      </c>
      <c r="V4" s="66" t="s">
        <v>13</v>
      </c>
      <c r="W4" s="98">
        <v>0</v>
      </c>
      <c r="X4" s="99">
        <v>1</v>
      </c>
      <c r="Y4" s="66" t="s">
        <v>14</v>
      </c>
      <c r="Z4" s="100" t="str">
        <f>_xlfn.DISPIMG("ID_20CC98ADBEC044A7B2FF7D1435B755A0",1)</f>
        <v>=DISPIMG("ID_20CC98ADBEC044A7B2FF7D1435B755A0",1)</v>
      </c>
      <c r="AA4" s="66" t="s">
        <v>13</v>
      </c>
      <c r="AB4" s="98">
        <v>1</v>
      </c>
      <c r="AC4" s="99">
        <v>0</v>
      </c>
      <c r="AD4" s="66" t="s">
        <v>14</v>
      </c>
      <c r="AE4" s="100" t="s">
        <v>45</v>
      </c>
      <c r="AF4" s="66" t="s">
        <v>16</v>
      </c>
      <c r="AG4" s="159" t="s">
        <v>290</v>
      </c>
      <c r="AH4" s="159"/>
      <c r="AI4" s="159"/>
      <c r="AJ4" s="160"/>
    </row>
    <row r="5" ht="48" customHeight="1" spans="1:36">
      <c r="A5" s="62"/>
      <c r="B5" s="62"/>
      <c r="C5" s="64"/>
      <c r="D5" s="64"/>
      <c r="E5" s="64"/>
      <c r="F5" s="65"/>
      <c r="G5" s="66" t="s">
        <v>18</v>
      </c>
      <c r="H5" s="453" t="s">
        <v>291</v>
      </c>
      <c r="I5" s="75"/>
      <c r="J5" s="75"/>
      <c r="K5" s="75"/>
      <c r="L5" s="66" t="s">
        <v>20</v>
      </c>
      <c r="M5" s="101">
        <v>1</v>
      </c>
      <c r="N5" s="102">
        <v>0</v>
      </c>
      <c r="O5" s="66" t="s">
        <v>21</v>
      </c>
      <c r="P5" s="100" t="s">
        <v>70</v>
      </c>
      <c r="Q5" s="66" t="s">
        <v>20</v>
      </c>
      <c r="R5" s="101">
        <v>3</v>
      </c>
      <c r="S5" s="102">
        <v>0</v>
      </c>
      <c r="T5" s="66" t="s">
        <v>21</v>
      </c>
      <c r="U5" s="459" t="s">
        <v>292</v>
      </c>
      <c r="V5" s="66" t="s">
        <v>20</v>
      </c>
      <c r="W5" s="101">
        <v>1</v>
      </c>
      <c r="X5" s="102">
        <v>0</v>
      </c>
      <c r="Y5" s="66" t="s">
        <v>21</v>
      </c>
      <c r="Z5" s="100" t="s">
        <v>23</v>
      </c>
      <c r="AA5" s="66" t="s">
        <v>20</v>
      </c>
      <c r="AB5" s="101">
        <v>4</v>
      </c>
      <c r="AC5" s="102">
        <v>0</v>
      </c>
      <c r="AD5" s="66" t="s">
        <v>21</v>
      </c>
      <c r="AE5" s="100" t="s">
        <v>45</v>
      </c>
      <c r="AF5" s="66" t="s">
        <v>24</v>
      </c>
      <c r="AG5" s="215" t="s">
        <v>293</v>
      </c>
      <c r="AH5" s="215"/>
      <c r="AI5" s="215"/>
      <c r="AJ5" s="216"/>
    </row>
    <row r="6" ht="70" customHeight="1" spans="1:36">
      <c r="A6" s="69" t="s">
        <v>26</v>
      </c>
      <c r="B6" s="70" t="s">
        <v>294</v>
      </c>
      <c r="C6" s="71"/>
      <c r="D6" s="71"/>
      <c r="E6" s="71"/>
      <c r="F6" s="65"/>
      <c r="G6" s="66"/>
      <c r="H6" s="75"/>
      <c r="I6" s="75"/>
      <c r="J6" s="75"/>
      <c r="K6" s="75"/>
      <c r="L6" s="66" t="s">
        <v>28</v>
      </c>
      <c r="M6" s="457" t="s">
        <v>295</v>
      </c>
      <c r="N6" s="113"/>
      <c r="O6" s="113"/>
      <c r="P6" s="113"/>
      <c r="Q6" s="66" t="s">
        <v>28</v>
      </c>
      <c r="R6" s="105" t="s">
        <v>296</v>
      </c>
      <c r="S6" s="105"/>
      <c r="T6" s="105"/>
      <c r="U6" s="105"/>
      <c r="V6" s="66" t="s">
        <v>28</v>
      </c>
      <c r="W6" s="112" t="s">
        <v>297</v>
      </c>
      <c r="X6" s="113"/>
      <c r="Y6" s="113"/>
      <c r="Z6" s="113"/>
      <c r="AA6" s="66" t="s">
        <v>28</v>
      </c>
      <c r="AB6" s="142" t="s">
        <v>298</v>
      </c>
      <c r="AC6" s="112"/>
      <c r="AD6" s="112"/>
      <c r="AE6" s="112"/>
      <c r="AF6" s="66"/>
      <c r="AG6" s="215"/>
      <c r="AH6" s="215"/>
      <c r="AI6" s="215"/>
      <c r="AJ6" s="216"/>
    </row>
    <row r="7" ht="15" customHeight="1" spans="1:36">
      <c r="A7" s="69" t="s">
        <v>33</v>
      </c>
      <c r="B7" s="70" t="s">
        <v>299</v>
      </c>
      <c r="C7" s="72"/>
      <c r="D7" s="72"/>
      <c r="E7" s="72"/>
      <c r="F7" s="65" t="s">
        <v>35</v>
      </c>
      <c r="G7" s="73" t="s">
        <v>36</v>
      </c>
      <c r="H7" s="73"/>
      <c r="I7" s="73"/>
      <c r="J7" s="73"/>
      <c r="K7" s="73"/>
      <c r="L7" s="61" t="s">
        <v>300</v>
      </c>
      <c r="M7" s="61"/>
      <c r="N7" s="61"/>
      <c r="O7" s="61"/>
      <c r="P7" s="61"/>
      <c r="Q7" s="61" t="s">
        <v>301</v>
      </c>
      <c r="R7" s="61"/>
      <c r="S7" s="61"/>
      <c r="T7" s="61"/>
      <c r="U7" s="61"/>
      <c r="V7" s="61" t="s">
        <v>302</v>
      </c>
      <c r="W7" s="61"/>
      <c r="X7" s="61"/>
      <c r="Y7" s="61"/>
      <c r="Z7" s="61"/>
      <c r="AA7" s="61" t="s">
        <v>303</v>
      </c>
      <c r="AB7" s="61"/>
      <c r="AC7" s="61"/>
      <c r="AD7" s="61"/>
      <c r="AE7" s="61"/>
      <c r="AF7" s="73" t="s">
        <v>41</v>
      </c>
      <c r="AG7" s="73"/>
      <c r="AH7" s="73"/>
      <c r="AI7" s="73"/>
      <c r="AJ7" s="120"/>
    </row>
    <row r="8" ht="48" customHeight="1" spans="1:36">
      <c r="A8" s="69"/>
      <c r="B8" s="72"/>
      <c r="C8" s="72"/>
      <c r="D8" s="72"/>
      <c r="E8" s="72"/>
      <c r="F8" s="65"/>
      <c r="G8" s="66" t="s">
        <v>11</v>
      </c>
      <c r="H8" s="116" t="s">
        <v>304</v>
      </c>
      <c r="I8" s="74"/>
      <c r="J8" s="74"/>
      <c r="K8" s="74"/>
      <c r="L8" s="66" t="s">
        <v>13</v>
      </c>
      <c r="M8" s="98">
        <v>1</v>
      </c>
      <c r="N8" s="99">
        <v>0</v>
      </c>
      <c r="O8" s="66" t="s">
        <v>14</v>
      </c>
      <c r="P8" s="100" t="s">
        <v>45</v>
      </c>
      <c r="Q8" s="66" t="s">
        <v>13</v>
      </c>
      <c r="R8" s="98">
        <v>1</v>
      </c>
      <c r="S8" s="99">
        <v>0</v>
      </c>
      <c r="T8" s="66" t="s">
        <v>14</v>
      </c>
      <c r="U8" s="100" t="s">
        <v>305</v>
      </c>
      <c r="V8" s="66" t="s">
        <v>13</v>
      </c>
      <c r="W8" s="98">
        <v>0</v>
      </c>
      <c r="X8" s="99">
        <v>1</v>
      </c>
      <c r="Y8" s="66" t="s">
        <v>14</v>
      </c>
      <c r="Z8" s="100" t="str">
        <f>_xlfn.DISPIMG("ID_8C143B6130C74BFAB464C18C45A97D5D",1)</f>
        <v>=DISPIMG("ID_8C143B6130C74BFAB464C18C45A97D5D",1)</v>
      </c>
      <c r="AA8" s="66" t="s">
        <v>13</v>
      </c>
      <c r="AB8" s="98">
        <v>0</v>
      </c>
      <c r="AC8" s="99">
        <v>1</v>
      </c>
      <c r="AD8" s="66" t="s">
        <v>14</v>
      </c>
      <c r="AE8" s="100" t="s">
        <v>45</v>
      </c>
      <c r="AF8" s="66" t="s">
        <v>16</v>
      </c>
      <c r="AG8" s="164" t="s">
        <v>306</v>
      </c>
      <c r="AH8" s="164"/>
      <c r="AI8" s="164"/>
      <c r="AJ8" s="165"/>
    </row>
    <row r="9" ht="48" customHeight="1" spans="1:36">
      <c r="A9" s="69"/>
      <c r="B9" s="72"/>
      <c r="C9" s="72"/>
      <c r="D9" s="72"/>
      <c r="E9" s="72"/>
      <c r="F9" s="65"/>
      <c r="G9" s="66" t="s">
        <v>18</v>
      </c>
      <c r="H9" s="118" t="s">
        <v>307</v>
      </c>
      <c r="I9" s="127"/>
      <c r="J9" s="127"/>
      <c r="K9" s="127"/>
      <c r="L9" s="66" t="s">
        <v>20</v>
      </c>
      <c r="M9" s="101">
        <v>4</v>
      </c>
      <c r="N9" s="102">
        <v>0</v>
      </c>
      <c r="O9" s="66" t="s">
        <v>21</v>
      </c>
      <c r="P9" s="100" t="s">
        <v>45</v>
      </c>
      <c r="Q9" s="66" t="s">
        <v>20</v>
      </c>
      <c r="R9" s="101">
        <v>3</v>
      </c>
      <c r="S9" s="102">
        <v>0</v>
      </c>
      <c r="T9" s="66" t="s">
        <v>21</v>
      </c>
      <c r="U9" s="100" t="s">
        <v>23</v>
      </c>
      <c r="V9" s="66" t="s">
        <v>20</v>
      </c>
      <c r="W9" s="101">
        <v>2</v>
      </c>
      <c r="X9" s="102">
        <v>0</v>
      </c>
      <c r="Y9" s="66" t="s">
        <v>21</v>
      </c>
      <c r="Z9" s="100" t="s">
        <v>45</v>
      </c>
      <c r="AA9" s="66" t="s">
        <v>20</v>
      </c>
      <c r="AB9" s="101">
        <v>5</v>
      </c>
      <c r="AC9" s="102">
        <v>1</v>
      </c>
      <c r="AD9" s="66" t="s">
        <v>21</v>
      </c>
      <c r="AE9" s="100" t="s">
        <v>45</v>
      </c>
      <c r="AF9" s="66" t="s">
        <v>24</v>
      </c>
      <c r="AG9" s="214" t="s">
        <v>308</v>
      </c>
      <c r="AH9" s="214"/>
      <c r="AI9" s="214"/>
      <c r="AJ9" s="464"/>
    </row>
    <row r="10" ht="70" customHeight="1" spans="1:36">
      <c r="A10" s="69" t="s">
        <v>49</v>
      </c>
      <c r="B10" s="72" t="s">
        <v>309</v>
      </c>
      <c r="C10" s="71"/>
      <c r="D10" s="71"/>
      <c r="E10" s="71"/>
      <c r="F10" s="65"/>
      <c r="G10" s="66"/>
      <c r="H10" s="127"/>
      <c r="I10" s="127"/>
      <c r="J10" s="127"/>
      <c r="K10" s="127"/>
      <c r="L10" s="66" t="s">
        <v>28</v>
      </c>
      <c r="M10" s="457" t="s">
        <v>310</v>
      </c>
      <c r="N10" s="113"/>
      <c r="O10" s="113"/>
      <c r="P10" s="113"/>
      <c r="Q10" s="66" t="s">
        <v>28</v>
      </c>
      <c r="R10" s="458" t="s">
        <v>311</v>
      </c>
      <c r="S10" s="141"/>
      <c r="T10" s="141"/>
      <c r="U10" s="141"/>
      <c r="V10" s="66" t="s">
        <v>28</v>
      </c>
      <c r="W10" s="105" t="s">
        <v>312</v>
      </c>
      <c r="X10" s="105"/>
      <c r="Y10" s="105"/>
      <c r="Z10" s="105"/>
      <c r="AA10" s="66" t="s">
        <v>28</v>
      </c>
      <c r="AB10" s="462" t="s">
        <v>313</v>
      </c>
      <c r="AC10" s="105"/>
      <c r="AD10" s="105"/>
      <c r="AE10" s="105"/>
      <c r="AF10" s="66"/>
      <c r="AG10" s="214"/>
      <c r="AH10" s="214"/>
      <c r="AI10" s="214"/>
      <c r="AJ10" s="464"/>
    </row>
    <row r="11" ht="15" customHeight="1" spans="1:36">
      <c r="A11" s="78"/>
      <c r="B11" s="78"/>
      <c r="C11" s="78"/>
      <c r="D11" s="78"/>
      <c r="E11" s="78"/>
      <c r="F11" s="65" t="s">
        <v>55</v>
      </c>
      <c r="G11" s="73" t="s">
        <v>56</v>
      </c>
      <c r="H11" s="73"/>
      <c r="I11" s="73"/>
      <c r="J11" s="73"/>
      <c r="K11" s="73"/>
      <c r="L11" s="61" t="s">
        <v>314</v>
      </c>
      <c r="M11" s="61"/>
      <c r="N11" s="61"/>
      <c r="O11" s="61"/>
      <c r="P11" s="61"/>
      <c r="Q11" s="61" t="s">
        <v>315</v>
      </c>
      <c r="R11" s="61"/>
      <c r="S11" s="61"/>
      <c r="T11" s="61"/>
      <c r="U11" s="61"/>
      <c r="V11" s="61" t="s">
        <v>316</v>
      </c>
      <c r="W11" s="61"/>
      <c r="X11" s="61"/>
      <c r="Y11" s="61"/>
      <c r="Z11" s="61"/>
      <c r="AA11" s="61" t="s">
        <v>317</v>
      </c>
      <c r="AB11" s="61"/>
      <c r="AC11" s="61"/>
      <c r="AD11" s="61"/>
      <c r="AE11" s="61"/>
      <c r="AF11" s="73" t="s">
        <v>61</v>
      </c>
      <c r="AG11" s="73"/>
      <c r="AH11" s="73"/>
      <c r="AI11" s="73"/>
      <c r="AJ11" s="120"/>
    </row>
    <row r="12" ht="48" customHeight="1" spans="1:36">
      <c r="A12" s="79" t="s">
        <v>62</v>
      </c>
      <c r="B12" s="80" t="str">
        <f>_xlfn.DISPIMG("ID_8D09830AA62B4233B741B0F0670BC711",1)</f>
        <v>=DISPIMG("ID_8D09830AA62B4233B741B0F0670BC711",1)</v>
      </c>
      <c r="C12" s="80"/>
      <c r="D12" s="80"/>
      <c r="E12" s="80"/>
      <c r="F12" s="65"/>
      <c r="G12" s="66" t="s">
        <v>11</v>
      </c>
      <c r="H12" s="117" t="s">
        <v>318</v>
      </c>
      <c r="I12" s="74"/>
      <c r="J12" s="74"/>
      <c r="K12" s="74"/>
      <c r="L12" s="66" t="s">
        <v>13</v>
      </c>
      <c r="M12" s="98">
        <v>0</v>
      </c>
      <c r="N12" s="99">
        <v>1</v>
      </c>
      <c r="O12" s="66" t="s">
        <v>14</v>
      </c>
      <c r="P12" s="100" t="str">
        <f>_xlfn.DISPIMG("ID_E2CF29B120684B08906AFCDD89C491E4",1)</f>
        <v>=DISPIMG("ID_E2CF29B120684B08906AFCDD89C491E4",1)</v>
      </c>
      <c r="Q12" s="66" t="s">
        <v>13</v>
      </c>
      <c r="R12" s="98">
        <v>0</v>
      </c>
      <c r="S12" s="99">
        <v>1</v>
      </c>
      <c r="T12" s="66" t="s">
        <v>14</v>
      </c>
      <c r="U12" s="100" t="str">
        <f>_xlfn.DISPIMG("ID_A874CB211EF44B9AA4733DB874EC56FE",1)</f>
        <v>=DISPIMG("ID_A874CB211EF44B9AA4733DB874EC56FE",1)</v>
      </c>
      <c r="V12" s="66" t="s">
        <v>13</v>
      </c>
      <c r="W12" s="98">
        <v>1</v>
      </c>
      <c r="X12" s="99">
        <v>1</v>
      </c>
      <c r="Y12" s="66" t="s">
        <v>14</v>
      </c>
      <c r="Z12" s="100" t="s">
        <v>305</v>
      </c>
      <c r="AA12" s="66" t="s">
        <v>13</v>
      </c>
      <c r="AB12" s="98">
        <v>1</v>
      </c>
      <c r="AC12" s="99">
        <v>1</v>
      </c>
      <c r="AD12" s="66" t="s">
        <v>14</v>
      </c>
      <c r="AE12" s="100" t="s">
        <v>305</v>
      </c>
      <c r="AF12" s="66" t="s">
        <v>16</v>
      </c>
      <c r="AG12" s="163" t="s">
        <v>319</v>
      </c>
      <c r="AH12" s="164"/>
      <c r="AI12" s="164"/>
      <c r="AJ12" s="165"/>
    </row>
    <row r="13" ht="48" customHeight="1" spans="1:36">
      <c r="A13" s="82"/>
      <c r="B13" s="80"/>
      <c r="C13" s="80"/>
      <c r="D13" s="80"/>
      <c r="E13" s="80"/>
      <c r="F13" s="65"/>
      <c r="G13" s="66" t="s">
        <v>18</v>
      </c>
      <c r="H13" s="118" t="s">
        <v>320</v>
      </c>
      <c r="I13" s="119"/>
      <c r="J13" s="119"/>
      <c r="K13" s="119"/>
      <c r="L13" s="66" t="s">
        <v>20</v>
      </c>
      <c r="M13" s="101">
        <v>2</v>
      </c>
      <c r="N13" s="102">
        <v>0</v>
      </c>
      <c r="O13" s="66" t="s">
        <v>21</v>
      </c>
      <c r="P13" s="100" t="s">
        <v>198</v>
      </c>
      <c r="Q13" s="66" t="s">
        <v>20</v>
      </c>
      <c r="R13" s="101">
        <v>1</v>
      </c>
      <c r="S13" s="102">
        <v>0</v>
      </c>
      <c r="T13" s="66" t="s">
        <v>21</v>
      </c>
      <c r="U13" s="100" t="s">
        <v>198</v>
      </c>
      <c r="V13" s="66" t="s">
        <v>20</v>
      </c>
      <c r="W13" s="101">
        <v>7</v>
      </c>
      <c r="X13" s="102">
        <v>0</v>
      </c>
      <c r="Y13" s="66" t="s">
        <v>21</v>
      </c>
      <c r="Z13" s="100" t="s">
        <v>321</v>
      </c>
      <c r="AA13" s="66" t="s">
        <v>20</v>
      </c>
      <c r="AB13" s="101">
        <v>7</v>
      </c>
      <c r="AC13" s="102">
        <v>1</v>
      </c>
      <c r="AD13" s="66" t="s">
        <v>21</v>
      </c>
      <c r="AE13" s="100" t="s">
        <v>322</v>
      </c>
      <c r="AF13" s="66" t="s">
        <v>24</v>
      </c>
      <c r="AG13" s="223" t="s">
        <v>323</v>
      </c>
      <c r="AH13" s="215"/>
      <c r="AI13" s="215"/>
      <c r="AJ13" s="216"/>
    </row>
    <row r="14" ht="70" customHeight="1" spans="1:36">
      <c r="A14" s="82"/>
      <c r="B14" s="80"/>
      <c r="C14" s="80"/>
      <c r="D14" s="80"/>
      <c r="E14" s="80"/>
      <c r="F14" s="65"/>
      <c r="G14" s="66"/>
      <c r="H14" s="119"/>
      <c r="I14" s="119"/>
      <c r="J14" s="119"/>
      <c r="K14" s="119"/>
      <c r="L14" s="66" t="s">
        <v>28</v>
      </c>
      <c r="M14" s="458" t="s">
        <v>324</v>
      </c>
      <c r="N14" s="141"/>
      <c r="O14" s="141"/>
      <c r="P14" s="141"/>
      <c r="Q14" s="66" t="s">
        <v>28</v>
      </c>
      <c r="R14" s="141" t="s">
        <v>325</v>
      </c>
      <c r="S14" s="141"/>
      <c r="T14" s="141"/>
      <c r="U14" s="141"/>
      <c r="V14" s="66" t="s">
        <v>28</v>
      </c>
      <c r="W14" s="460" t="s">
        <v>326</v>
      </c>
      <c r="X14" s="461"/>
      <c r="Y14" s="461"/>
      <c r="Z14" s="461"/>
      <c r="AA14" s="66" t="s">
        <v>28</v>
      </c>
      <c r="AB14" s="463" t="s">
        <v>327</v>
      </c>
      <c r="AC14" s="463"/>
      <c r="AD14" s="463"/>
      <c r="AE14" s="463"/>
      <c r="AF14" s="66"/>
      <c r="AG14" s="215"/>
      <c r="AH14" s="215"/>
      <c r="AI14" s="215"/>
      <c r="AJ14" s="216"/>
    </row>
    <row r="15" ht="15" customHeight="1" spans="1:36">
      <c r="A15" s="83"/>
      <c r="B15" s="83"/>
      <c r="C15" s="83"/>
      <c r="D15" s="83"/>
      <c r="E15" s="83"/>
      <c r="F15" s="65" t="s">
        <v>77</v>
      </c>
      <c r="G15" s="84" t="s">
        <v>78</v>
      </c>
      <c r="H15" s="73"/>
      <c r="I15" s="73"/>
      <c r="J15" s="73"/>
      <c r="K15" s="73"/>
      <c r="L15" s="84" t="s">
        <v>78</v>
      </c>
      <c r="M15" s="73"/>
      <c r="N15" s="73"/>
      <c r="O15" s="73"/>
      <c r="P15" s="73"/>
      <c r="Q15" s="61" t="s">
        <v>328</v>
      </c>
      <c r="R15" s="61"/>
      <c r="S15" s="61"/>
      <c r="T15" s="61"/>
      <c r="U15" s="61"/>
      <c r="V15" s="61" t="s">
        <v>329</v>
      </c>
      <c r="W15" s="61"/>
      <c r="X15" s="61"/>
      <c r="Y15" s="61"/>
      <c r="Z15" s="61"/>
      <c r="AA15" s="61" t="s">
        <v>330</v>
      </c>
      <c r="AB15" s="61"/>
      <c r="AC15" s="61"/>
      <c r="AD15" s="61"/>
      <c r="AE15" s="61"/>
      <c r="AF15" s="73"/>
      <c r="AG15" s="73"/>
      <c r="AH15" s="73"/>
      <c r="AI15" s="73"/>
      <c r="AJ15" s="120"/>
    </row>
    <row r="16" ht="48" customHeight="1" spans="1:36">
      <c r="A16" s="85" t="s">
        <v>83</v>
      </c>
      <c r="B16" s="86" t="s">
        <v>84</v>
      </c>
      <c r="C16" s="87"/>
      <c r="D16" s="87"/>
      <c r="E16" s="87"/>
      <c r="F16" s="65"/>
      <c r="G16" s="66" t="s">
        <v>16</v>
      </c>
      <c r="H16" s="288" t="s">
        <v>331</v>
      </c>
      <c r="I16" s="288"/>
      <c r="J16" s="288"/>
      <c r="K16" s="288"/>
      <c r="L16" s="66" t="s">
        <v>16</v>
      </c>
      <c r="M16" s="159" t="s">
        <v>332</v>
      </c>
      <c r="N16" s="159"/>
      <c r="O16" s="159"/>
      <c r="P16" s="159"/>
      <c r="Q16" s="66" t="s">
        <v>13</v>
      </c>
      <c r="R16" s="98">
        <v>1</v>
      </c>
      <c r="S16" s="99">
        <v>0</v>
      </c>
      <c r="T16" s="66" t="s">
        <v>14</v>
      </c>
      <c r="U16" s="100" t="s">
        <v>333</v>
      </c>
      <c r="V16" s="66" t="s">
        <v>13</v>
      </c>
      <c r="W16" s="98">
        <v>1</v>
      </c>
      <c r="X16" s="99">
        <v>0</v>
      </c>
      <c r="Y16" s="66" t="s">
        <v>14</v>
      </c>
      <c r="Z16" s="100" t="s">
        <v>45</v>
      </c>
      <c r="AA16" s="66" t="s">
        <v>13</v>
      </c>
      <c r="AB16" s="98">
        <v>1</v>
      </c>
      <c r="AC16" s="99">
        <v>0</v>
      </c>
      <c r="AD16" s="66" t="s">
        <v>14</v>
      </c>
      <c r="AE16" s="100" t="str">
        <f>_xlfn.DISPIMG("ID_8D4B69DDED7440F2A118EE13FA90BFFB",1)</f>
        <v>=DISPIMG("ID_8D4B69DDED7440F2A118EE13FA90BFFB",1)</v>
      </c>
      <c r="AF16" s="66" t="s">
        <v>16</v>
      </c>
      <c r="AG16" s="159" t="s">
        <v>334</v>
      </c>
      <c r="AH16" s="159"/>
      <c r="AI16" s="159"/>
      <c r="AJ16" s="160"/>
    </row>
    <row r="17" ht="48" customHeight="1" spans="1:36">
      <c r="A17" s="85" t="s">
        <v>87</v>
      </c>
      <c r="B17" s="86" t="s">
        <v>274</v>
      </c>
      <c r="C17" s="87"/>
      <c r="D17" s="87"/>
      <c r="E17" s="87"/>
      <c r="F17" s="65"/>
      <c r="G17" s="66" t="s">
        <v>24</v>
      </c>
      <c r="H17" s="324" t="s">
        <v>335</v>
      </c>
      <c r="I17" s="324"/>
      <c r="J17" s="324"/>
      <c r="K17" s="324"/>
      <c r="L17" s="66" t="s">
        <v>24</v>
      </c>
      <c r="M17" s="215" t="s">
        <v>336</v>
      </c>
      <c r="N17" s="215"/>
      <c r="O17" s="215"/>
      <c r="P17" s="215"/>
      <c r="Q17" s="66" t="s">
        <v>20</v>
      </c>
      <c r="R17" s="101">
        <v>5</v>
      </c>
      <c r="S17" s="102">
        <v>0</v>
      </c>
      <c r="T17" s="66" t="s">
        <v>21</v>
      </c>
      <c r="U17" s="100" t="s">
        <v>198</v>
      </c>
      <c r="V17" s="66" t="s">
        <v>20</v>
      </c>
      <c r="W17" s="101">
        <v>2</v>
      </c>
      <c r="X17" s="102">
        <v>0</v>
      </c>
      <c r="Y17" s="66" t="s">
        <v>21</v>
      </c>
      <c r="Z17" s="100" t="s">
        <v>45</v>
      </c>
      <c r="AA17" s="66" t="s">
        <v>20</v>
      </c>
      <c r="AB17" s="101">
        <v>7</v>
      </c>
      <c r="AC17" s="102">
        <v>2</v>
      </c>
      <c r="AD17" s="66" t="s">
        <v>21</v>
      </c>
      <c r="AE17" s="100" t="s">
        <v>322</v>
      </c>
      <c r="AF17" s="66" t="s">
        <v>24</v>
      </c>
      <c r="AG17" s="215" t="s">
        <v>337</v>
      </c>
      <c r="AH17" s="215"/>
      <c r="AI17" s="215"/>
      <c r="AJ17" s="216"/>
    </row>
    <row r="18" ht="87" customHeight="1" spans="1:36">
      <c r="A18" s="454" t="s">
        <v>151</v>
      </c>
      <c r="B18" s="91" t="s">
        <v>279</v>
      </c>
      <c r="C18" s="92"/>
      <c r="D18" s="92"/>
      <c r="E18" s="92"/>
      <c r="F18" s="93"/>
      <c r="G18" s="94"/>
      <c r="H18" s="325"/>
      <c r="I18" s="325"/>
      <c r="J18" s="325"/>
      <c r="K18" s="325"/>
      <c r="L18" s="94"/>
      <c r="M18" s="378"/>
      <c r="N18" s="378"/>
      <c r="O18" s="378"/>
      <c r="P18" s="378"/>
      <c r="Q18" s="66" t="s">
        <v>28</v>
      </c>
      <c r="R18" s="108" t="s">
        <v>338</v>
      </c>
      <c r="S18" s="108"/>
      <c r="T18" s="108"/>
      <c r="U18" s="108"/>
      <c r="V18" s="66" t="s">
        <v>28</v>
      </c>
      <c r="W18" s="108" t="s">
        <v>339</v>
      </c>
      <c r="X18" s="108"/>
      <c r="Y18" s="108"/>
      <c r="Z18" s="108"/>
      <c r="AA18" s="66" t="s">
        <v>28</v>
      </c>
      <c r="AB18" s="157" t="s">
        <v>340</v>
      </c>
      <c r="AC18" s="142"/>
      <c r="AD18" s="142"/>
      <c r="AE18" s="142"/>
      <c r="AF18" s="94"/>
      <c r="AG18" s="378"/>
      <c r="AH18" s="378"/>
      <c r="AI18" s="378"/>
      <c r="AJ18" s="379"/>
    </row>
    <row r="19" ht="17.25" spans="6:12">
      <c r="F19" s="455" t="s">
        <v>317</v>
      </c>
      <c r="G19" s="456"/>
      <c r="H19" s="131" t="s">
        <v>219</v>
      </c>
      <c r="I19" s="143" t="s">
        <v>220</v>
      </c>
      <c r="J19" s="143"/>
      <c r="K19" s="143"/>
      <c r="L19" s="144"/>
    </row>
    <row r="20" spans="6:12">
      <c r="F20" s="132" t="str">
        <f>_xlfn.DISPIMG("ID_CF9D1CFE5AB345FF9652F132DF3E85FA",1)</f>
        <v>=DISPIMG("ID_CF9D1CFE5AB345FF9652F132DF3E85FA",1)</v>
      </c>
      <c r="G20" s="133"/>
      <c r="H20" s="134" t="s">
        <v>341</v>
      </c>
      <c r="I20" s="145"/>
      <c r="J20" s="145"/>
      <c r="K20" s="146" t="str">
        <f>_xlfn.DISPIMG("ID_1BF0C97380BF473693822C43096A8FDA",1)</f>
        <v>=DISPIMG("ID_1BF0C97380BF473693822C43096A8FDA",1)</v>
      </c>
      <c r="L20" s="147"/>
    </row>
    <row r="21" spans="6:12">
      <c r="F21" s="132"/>
      <c r="G21" s="133"/>
      <c r="H21" s="134" t="s">
        <v>342</v>
      </c>
      <c r="I21" s="145"/>
      <c r="J21" s="145"/>
      <c r="K21" s="148"/>
      <c r="L21" s="149"/>
    </row>
    <row r="22" spans="6:12">
      <c r="F22" s="132"/>
      <c r="G22" s="133"/>
      <c r="H22" s="134" t="s">
        <v>343</v>
      </c>
      <c r="I22" s="145"/>
      <c r="J22" s="145"/>
      <c r="K22" s="150"/>
      <c r="L22" s="151"/>
    </row>
    <row r="23" spans="6:12">
      <c r="F23" s="135" t="s">
        <v>224</v>
      </c>
      <c r="G23" s="136"/>
      <c r="H23" s="137" t="s">
        <v>344</v>
      </c>
      <c r="I23" s="152"/>
      <c r="J23" s="152"/>
      <c r="K23" s="152"/>
      <c r="L23" s="153"/>
    </row>
    <row r="24" ht="50.1" customHeight="1" spans="6:12">
      <c r="F24" s="138"/>
      <c r="G24" s="139"/>
      <c r="H24" s="140"/>
      <c r="I24" s="140"/>
      <c r="J24" s="140"/>
      <c r="K24" s="140"/>
      <c r="L24" s="154"/>
    </row>
    <row r="26" spans="18:18">
      <c r="R26"/>
    </row>
    <row r="30" ht="25" customHeight="1"/>
    <row r="46" spans="18:18">
      <c r="R46"/>
    </row>
  </sheetData>
  <sheetProtection selectLockedCells="1" formatCells="0" formatColumns="0" formatRows="0" insertRows="0" insertColumns="0" insertHyperlinks="0" deleteColumns="0" deleteRows="0" sort="0" autoFilter="0" pivotTables="0"/>
  <mergeCells count="94">
    <mergeCell ref="B1:C1"/>
    <mergeCell ref="D1:E1"/>
    <mergeCell ref="L1:P1"/>
    <mergeCell ref="Q1:U1"/>
    <mergeCell ref="V1:Z1"/>
    <mergeCell ref="AA1:AE1"/>
    <mergeCell ref="AF1:AJ1"/>
    <mergeCell ref="G3:K3"/>
    <mergeCell ref="L3:P3"/>
    <mergeCell ref="Q3:U3"/>
    <mergeCell ref="V3:Z3"/>
    <mergeCell ref="AA3:AE3"/>
    <mergeCell ref="AF3:AJ3"/>
    <mergeCell ref="H4:K4"/>
    <mergeCell ref="AG4:AJ4"/>
    <mergeCell ref="B6:E6"/>
    <mergeCell ref="M6:P6"/>
    <mergeCell ref="R6:U6"/>
    <mergeCell ref="W6:Z6"/>
    <mergeCell ref="AB6:AE6"/>
    <mergeCell ref="G7:K7"/>
    <mergeCell ref="L7:P7"/>
    <mergeCell ref="Q7:U7"/>
    <mergeCell ref="V7:Z7"/>
    <mergeCell ref="AA7:AE7"/>
    <mergeCell ref="AF7:AJ7"/>
    <mergeCell ref="H8:K8"/>
    <mergeCell ref="AG8:AJ8"/>
    <mergeCell ref="B10:E10"/>
    <mergeCell ref="M10:P10"/>
    <mergeCell ref="R10:U10"/>
    <mergeCell ref="W10:Z10"/>
    <mergeCell ref="AB10:AE10"/>
    <mergeCell ref="G11:K11"/>
    <mergeCell ref="L11:P11"/>
    <mergeCell ref="Q11:U11"/>
    <mergeCell ref="V11:Z11"/>
    <mergeCell ref="AA11:AE11"/>
    <mergeCell ref="AF11:AJ11"/>
    <mergeCell ref="H12:K12"/>
    <mergeCell ref="AG12:AJ12"/>
    <mergeCell ref="M14:P14"/>
    <mergeCell ref="R14:U14"/>
    <mergeCell ref="W14:Z14"/>
    <mergeCell ref="AB14:AE14"/>
    <mergeCell ref="G15:K15"/>
    <mergeCell ref="L15:P15"/>
    <mergeCell ref="Q15:U15"/>
    <mergeCell ref="V15:Z15"/>
    <mergeCell ref="AA15:AE15"/>
    <mergeCell ref="AF15:AJ15"/>
    <mergeCell ref="B16:E16"/>
    <mergeCell ref="H16:K16"/>
    <mergeCell ref="M16:P16"/>
    <mergeCell ref="AG16:AJ16"/>
    <mergeCell ref="B17:E17"/>
    <mergeCell ref="B18:E18"/>
    <mergeCell ref="R18:U18"/>
    <mergeCell ref="W18:Z18"/>
    <mergeCell ref="AB18:AE18"/>
    <mergeCell ref="F19:G19"/>
    <mergeCell ref="I19:L19"/>
    <mergeCell ref="A7:A9"/>
    <mergeCell ref="A12:A14"/>
    <mergeCell ref="F3:F6"/>
    <mergeCell ref="F7:F10"/>
    <mergeCell ref="F11:F14"/>
    <mergeCell ref="F15:F18"/>
    <mergeCell ref="G5:G6"/>
    <mergeCell ref="G9:G10"/>
    <mergeCell ref="G13:G14"/>
    <mergeCell ref="G17:G18"/>
    <mergeCell ref="L17:L18"/>
    <mergeCell ref="AF5:AF6"/>
    <mergeCell ref="AF9:AF10"/>
    <mergeCell ref="AF13:AF14"/>
    <mergeCell ref="AF17:AF18"/>
    <mergeCell ref="A4:B5"/>
    <mergeCell ref="C4:E5"/>
    <mergeCell ref="H5:K6"/>
    <mergeCell ref="AG5:AJ6"/>
    <mergeCell ref="B7:E9"/>
    <mergeCell ref="AG9:AJ10"/>
    <mergeCell ref="B12:E14"/>
    <mergeCell ref="AG13:AJ14"/>
    <mergeCell ref="M17:P18"/>
    <mergeCell ref="AG17:AJ18"/>
    <mergeCell ref="H13:K14"/>
    <mergeCell ref="F20:G22"/>
    <mergeCell ref="K20:L22"/>
    <mergeCell ref="F23:G24"/>
    <mergeCell ref="H23:L24"/>
    <mergeCell ref="H9:K10"/>
    <mergeCell ref="H17:K18"/>
  </mergeCells>
  <conditionalFormatting sqref="M4">
    <cfRule type="cellIs" dxfId="0" priority="43" operator="equal">
      <formula>0</formula>
    </cfRule>
  </conditionalFormatting>
  <conditionalFormatting sqref="N4">
    <cfRule type="cellIs" dxfId="0" priority="44" operator="equal">
      <formula>0</formula>
    </cfRule>
  </conditionalFormatting>
  <conditionalFormatting sqref="R4">
    <cfRule type="cellIs" dxfId="0" priority="40" operator="equal">
      <formula>0</formula>
    </cfRule>
  </conditionalFormatting>
  <conditionalFormatting sqref="S4">
    <cfRule type="cellIs" dxfId="0" priority="41" operator="equal">
      <formula>0</formula>
    </cfRule>
  </conditionalFormatting>
  <conditionalFormatting sqref="W4">
    <cfRule type="cellIs" dxfId="0" priority="37" operator="equal">
      <formula>0</formula>
    </cfRule>
  </conditionalFormatting>
  <conditionalFormatting sqref="X4">
    <cfRule type="cellIs" dxfId="0" priority="38" operator="equal">
      <formula>0</formula>
    </cfRule>
  </conditionalFormatting>
  <conditionalFormatting sqref="AB4">
    <cfRule type="cellIs" dxfId="0" priority="34" operator="equal">
      <formula>0</formula>
    </cfRule>
  </conditionalFormatting>
  <conditionalFormatting sqref="AC4">
    <cfRule type="cellIs" dxfId="0" priority="35" operator="equal">
      <formula>0</formula>
    </cfRule>
  </conditionalFormatting>
  <conditionalFormatting sqref="M8">
    <cfRule type="cellIs" dxfId="0" priority="31" operator="equal">
      <formula>0</formula>
    </cfRule>
  </conditionalFormatting>
  <conditionalFormatting sqref="N8">
    <cfRule type="cellIs" dxfId="0" priority="32" operator="equal">
      <formula>0</formula>
    </cfRule>
  </conditionalFormatting>
  <conditionalFormatting sqref="R8">
    <cfRule type="cellIs" dxfId="0" priority="22" operator="equal">
      <formula>0</formula>
    </cfRule>
  </conditionalFormatting>
  <conditionalFormatting sqref="S8">
    <cfRule type="cellIs" dxfId="0" priority="23" operator="equal">
      <formula>0</formula>
    </cfRule>
  </conditionalFormatting>
  <conditionalFormatting sqref="W8">
    <cfRule type="cellIs" dxfId="0" priority="19" operator="equal">
      <formula>0</formula>
    </cfRule>
  </conditionalFormatting>
  <conditionalFormatting sqref="X8">
    <cfRule type="cellIs" dxfId="0" priority="20" operator="equal">
      <formula>0</formula>
    </cfRule>
  </conditionalFormatting>
  <conditionalFormatting sqref="AB8">
    <cfRule type="cellIs" dxfId="0" priority="4" operator="equal">
      <formula>0</formula>
    </cfRule>
  </conditionalFormatting>
  <conditionalFormatting sqref="AC8">
    <cfRule type="cellIs" dxfId="0" priority="5" operator="equal">
      <formula>0</formula>
    </cfRule>
  </conditionalFormatting>
  <conditionalFormatting sqref="M12">
    <cfRule type="cellIs" dxfId="0" priority="28" operator="equal">
      <formula>0</formula>
    </cfRule>
  </conditionalFormatting>
  <conditionalFormatting sqref="N12">
    <cfRule type="cellIs" dxfId="0" priority="29" operator="equal">
      <formula>0</formula>
    </cfRule>
  </conditionalFormatting>
  <conditionalFormatting sqref="R12">
    <cfRule type="cellIs" dxfId="0" priority="25" operator="equal">
      <formula>0</formula>
    </cfRule>
  </conditionalFormatting>
  <conditionalFormatting sqref="S12">
    <cfRule type="cellIs" dxfId="0" priority="26" operator="equal">
      <formula>0</formula>
    </cfRule>
  </conditionalFormatting>
  <conditionalFormatting sqref="W12">
    <cfRule type="cellIs" dxfId="0" priority="16" operator="equal">
      <formula>0</formula>
    </cfRule>
  </conditionalFormatting>
  <conditionalFormatting sqref="X12">
    <cfRule type="cellIs" dxfId="0" priority="17" operator="equal">
      <formula>0</formula>
    </cfRule>
  </conditionalFormatting>
  <conditionalFormatting sqref="AB12">
    <cfRule type="cellIs" dxfId="0" priority="1" operator="equal">
      <formula>0</formula>
    </cfRule>
  </conditionalFormatting>
  <conditionalFormatting sqref="AC12">
    <cfRule type="cellIs" dxfId="0" priority="2" operator="equal">
      <formula>0</formula>
    </cfRule>
  </conditionalFormatting>
  <conditionalFormatting sqref="R16">
    <cfRule type="cellIs" dxfId="0" priority="13" operator="equal">
      <formula>0</formula>
    </cfRule>
  </conditionalFormatting>
  <conditionalFormatting sqref="S16">
    <cfRule type="cellIs" dxfId="0" priority="14" operator="equal">
      <formula>0</formula>
    </cfRule>
  </conditionalFormatting>
  <conditionalFormatting sqref="W16">
    <cfRule type="cellIs" dxfId="0" priority="10" operator="equal">
      <formula>0</formula>
    </cfRule>
  </conditionalFormatting>
  <conditionalFormatting sqref="X16">
    <cfRule type="cellIs" dxfId="0" priority="11" operator="equal">
      <formula>0</formula>
    </cfRule>
  </conditionalFormatting>
  <conditionalFormatting sqref="AB16">
    <cfRule type="cellIs" dxfId="0" priority="7" operator="equal">
      <formula>0</formula>
    </cfRule>
  </conditionalFormatting>
  <conditionalFormatting sqref="AC16">
    <cfRule type="cellIs" dxfId="0" priority="8" operator="equal">
      <formula>0</formula>
    </cfRule>
  </conditionalFormatting>
  <conditionalFormatting sqref="M4:N5">
    <cfRule type="cellIs" dxfId="1" priority="45" operator="equal">
      <formula>0</formula>
    </cfRule>
  </conditionalFormatting>
  <conditionalFormatting sqref="R4:S5">
    <cfRule type="cellIs" dxfId="1" priority="42" operator="equal">
      <formula>0</formula>
    </cfRule>
  </conditionalFormatting>
  <conditionalFormatting sqref="W4:X5">
    <cfRule type="cellIs" dxfId="1" priority="39" operator="equal">
      <formula>0</formula>
    </cfRule>
  </conditionalFormatting>
  <conditionalFormatting sqref="AB4:AC5">
    <cfRule type="cellIs" dxfId="1" priority="36" operator="equal">
      <formula>0</formula>
    </cfRule>
  </conditionalFormatting>
  <conditionalFormatting sqref="M8:N9">
    <cfRule type="cellIs" dxfId="1" priority="33" operator="equal">
      <formula>0</formula>
    </cfRule>
  </conditionalFormatting>
  <conditionalFormatting sqref="R8:S9">
    <cfRule type="cellIs" dxfId="1" priority="24" operator="equal">
      <formula>0</formula>
    </cfRule>
  </conditionalFormatting>
  <conditionalFormatting sqref="W8:X9">
    <cfRule type="cellIs" dxfId="1" priority="21" operator="equal">
      <formula>0</formula>
    </cfRule>
  </conditionalFormatting>
  <conditionalFormatting sqref="AB8:AC9">
    <cfRule type="cellIs" dxfId="1" priority="6" operator="equal">
      <formula>0</formula>
    </cfRule>
  </conditionalFormatting>
  <conditionalFormatting sqref="M12:N13">
    <cfRule type="cellIs" dxfId="1" priority="30" operator="equal">
      <formula>0</formula>
    </cfRule>
  </conditionalFormatting>
  <conditionalFormatting sqref="R12:S13">
    <cfRule type="cellIs" dxfId="1" priority="27" operator="equal">
      <formula>0</formula>
    </cfRule>
  </conditionalFormatting>
  <conditionalFormatting sqref="W12:X13">
    <cfRule type="cellIs" dxfId="1" priority="18" operator="equal">
      <formula>0</formula>
    </cfRule>
  </conditionalFormatting>
  <conditionalFormatting sqref="AB12:AC13">
    <cfRule type="cellIs" dxfId="1" priority="3" operator="equal">
      <formula>0</formula>
    </cfRule>
  </conditionalFormatting>
  <conditionalFormatting sqref="R16:S17">
    <cfRule type="cellIs" dxfId="1" priority="15" operator="equal">
      <formula>0</formula>
    </cfRule>
  </conditionalFormatting>
  <conditionalFormatting sqref="W16:X17">
    <cfRule type="cellIs" dxfId="1" priority="12" operator="equal">
      <formula>0</formula>
    </cfRule>
  </conditionalFormatting>
  <conditionalFormatting sqref="AB16:AC17">
    <cfRule type="cellIs" dxfId="1" priority="9" operator="equal">
      <formula>0</formula>
    </cfRule>
  </conditionalFormatting>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5"/>
    <pageSetUpPr autoPageBreaks="0"/>
  </sheetPr>
  <dimension ref="A1:AJ47"/>
  <sheetViews>
    <sheetView showGridLines="0" zoomScale="70" zoomScaleNormal="70" topLeftCell="H5" workbookViewId="0">
      <selection activeCell="R10" sqref="R10:U10"/>
    </sheetView>
  </sheetViews>
  <sheetFormatPr defaultColWidth="8.89090909090909" defaultRowHeight="16.5"/>
  <cols>
    <col min="1" max="5" width="10" style="1" customWidth="1"/>
    <col min="6" max="7" width="5" style="1" customWidth="1"/>
    <col min="8" max="11" width="10" style="1" customWidth="1"/>
    <col min="12" max="12" width="5" style="1" customWidth="1"/>
    <col min="13" max="14" width="10" style="1" customWidth="1"/>
    <col min="15" max="15" width="5" style="1" customWidth="1"/>
    <col min="16" max="16" width="20" style="1" customWidth="1"/>
    <col min="17" max="17" width="5" style="1" customWidth="1"/>
    <col min="18" max="19" width="10" style="1" customWidth="1"/>
    <col min="20" max="20" width="5" style="1" customWidth="1"/>
    <col min="21" max="21" width="20" style="1" customWidth="1"/>
    <col min="22" max="22" width="5" style="1" customWidth="1"/>
    <col min="23" max="24" width="10" style="1" customWidth="1"/>
    <col min="25" max="25" width="5" style="1" customWidth="1"/>
    <col min="26" max="26" width="20" style="1" customWidth="1"/>
    <col min="27" max="27" width="5" style="1" customWidth="1"/>
    <col min="28" max="29" width="10" style="1" customWidth="1"/>
    <col min="30" max="30" width="5" style="1" customWidth="1"/>
    <col min="31" max="31" width="20" style="1" customWidth="1"/>
    <col min="32" max="32" width="5" style="1" customWidth="1"/>
    <col min="33" max="36" width="10" style="1" customWidth="1"/>
    <col min="37" max="16383" width="8.89090909090909" style="1"/>
  </cols>
  <sheetData>
    <row r="1" ht="60.75" customHeight="1" spans="1:36">
      <c r="A1" s="423" t="str">
        <f>_xlfn.DISPIMG("ID_E39D200512934CD8BEC1F6DEA8CD1869",1)</f>
        <v>=DISPIMG("ID_E39D200512934CD8BEC1F6DEA8CD1869",1)</v>
      </c>
      <c r="B1" s="3" t="s">
        <v>345</v>
      </c>
      <c r="C1" s="3"/>
      <c r="D1" s="424" t="s">
        <v>346</v>
      </c>
      <c r="E1" s="424"/>
      <c r="F1" s="5"/>
      <c r="G1" s="6"/>
      <c r="H1" s="6"/>
      <c r="I1" s="6"/>
      <c r="J1" s="6"/>
      <c r="K1" s="6"/>
      <c r="L1" s="283" t="s">
        <v>347</v>
      </c>
      <c r="M1" s="283"/>
      <c r="N1" s="283"/>
      <c r="O1" s="283"/>
      <c r="P1" s="283"/>
      <c r="Q1" s="5"/>
      <c r="R1" s="5"/>
      <c r="S1" s="5"/>
      <c r="T1" s="5"/>
      <c r="U1" s="5"/>
      <c r="V1" s="5"/>
      <c r="W1" s="5"/>
      <c r="X1" s="5"/>
      <c r="Y1" s="5"/>
      <c r="Z1" s="5"/>
      <c r="AA1" s="5"/>
      <c r="AB1" s="5"/>
      <c r="AC1" s="5"/>
      <c r="AD1" s="5"/>
      <c r="AE1" s="5"/>
      <c r="AF1" s="208" t="s">
        <v>227</v>
      </c>
      <c r="AG1" s="208"/>
      <c r="AH1" s="208"/>
      <c r="AI1" s="208"/>
      <c r="AJ1" s="208"/>
    </row>
    <row r="2" ht="15" customHeight="1" spans="1:36">
      <c r="A2" s="7"/>
      <c r="B2" s="7"/>
      <c r="C2" s="7"/>
      <c r="D2" s="7"/>
      <c r="E2" s="7"/>
      <c r="F2" s="425"/>
      <c r="G2" s="425"/>
      <c r="H2" s="425"/>
      <c r="I2" s="425"/>
      <c r="J2" s="425"/>
      <c r="K2" s="425"/>
      <c r="L2" s="438"/>
      <c r="M2" s="438"/>
      <c r="N2" s="438"/>
      <c r="O2" s="438"/>
      <c r="P2" s="438"/>
      <c r="Q2" s="438"/>
      <c r="R2" s="438"/>
      <c r="S2" s="438"/>
      <c r="T2" s="438"/>
      <c r="U2" s="438"/>
      <c r="V2" s="438"/>
      <c r="W2" s="438"/>
      <c r="X2" s="438"/>
      <c r="Y2" s="438"/>
      <c r="Z2" s="438"/>
      <c r="AA2" s="438"/>
      <c r="AB2" s="438"/>
      <c r="AC2" s="438"/>
      <c r="AD2" s="438"/>
      <c r="AE2" s="438"/>
      <c r="AF2" s="449"/>
      <c r="AG2" s="449"/>
      <c r="AH2" s="449"/>
      <c r="AI2" s="449"/>
      <c r="AJ2" s="452"/>
    </row>
    <row r="3" ht="21.5" customHeight="1" spans="1:36">
      <c r="A3" s="7"/>
      <c r="B3" s="7"/>
      <c r="C3" s="7"/>
      <c r="D3" s="7"/>
      <c r="E3" s="7"/>
      <c r="F3" s="426" t="s">
        <v>3</v>
      </c>
      <c r="G3" s="427" t="s">
        <v>4</v>
      </c>
      <c r="H3" s="427"/>
      <c r="I3" s="427"/>
      <c r="J3" s="427"/>
      <c r="K3" s="427"/>
      <c r="L3" s="10" t="s">
        <v>348</v>
      </c>
      <c r="M3" s="10"/>
      <c r="N3" s="10"/>
      <c r="O3" s="10"/>
      <c r="P3" s="10"/>
      <c r="Q3" s="10" t="s">
        <v>349</v>
      </c>
      <c r="R3" s="10"/>
      <c r="S3" s="10"/>
      <c r="T3" s="10"/>
      <c r="U3" s="10"/>
      <c r="V3" s="10" t="s">
        <v>103</v>
      </c>
      <c r="W3" s="10"/>
      <c r="X3" s="10"/>
      <c r="Y3" s="10"/>
      <c r="Z3" s="10"/>
      <c r="AA3" s="10" t="s">
        <v>350</v>
      </c>
      <c r="AB3" s="10"/>
      <c r="AC3" s="10"/>
      <c r="AD3" s="10"/>
      <c r="AE3" s="10"/>
      <c r="AF3" s="10" t="s">
        <v>9</v>
      </c>
      <c r="AG3" s="10"/>
      <c r="AH3" s="10"/>
      <c r="AI3" s="10"/>
      <c r="AJ3" s="10"/>
    </row>
    <row r="4" ht="61.5" customHeight="1" spans="1:36">
      <c r="A4" s="11" t="str">
        <f>_xlfn.DISPIMG("ID_89DD0FA4551446DFBDB3D230393AAFC8",1)</f>
        <v>=DISPIMG("ID_89DD0FA4551446DFBDB3D230393AAFC8",1)</v>
      </c>
      <c r="B4" s="11"/>
      <c r="C4" s="12" t="s">
        <v>351</v>
      </c>
      <c r="D4" s="12"/>
      <c r="E4" s="12"/>
      <c r="F4" s="426"/>
      <c r="G4" s="428" t="s">
        <v>11</v>
      </c>
      <c r="H4" s="14" t="s">
        <v>352</v>
      </c>
      <c r="I4" s="14"/>
      <c r="J4" s="14"/>
      <c r="K4" s="14"/>
      <c r="L4" s="13" t="s">
        <v>13</v>
      </c>
      <c r="M4" s="39">
        <v>1</v>
      </c>
      <c r="N4" s="30">
        <v>0</v>
      </c>
      <c r="O4" s="13" t="s">
        <v>14</v>
      </c>
      <c r="P4" s="439" t="str">
        <f>_xlfn.DISPIMG("ID_9786474967E94C57B1093B255C807353",1)</f>
        <v>=DISPIMG("ID_9786474967E94C57B1093B255C807353",1)</v>
      </c>
      <c r="Q4" s="13" t="s">
        <v>13</v>
      </c>
      <c r="R4" s="29">
        <v>0</v>
      </c>
      <c r="S4" s="35">
        <v>1</v>
      </c>
      <c r="T4" s="13" t="s">
        <v>14</v>
      </c>
      <c r="U4" s="31" t="s">
        <v>44</v>
      </c>
      <c r="V4" s="13" t="s">
        <v>13</v>
      </c>
      <c r="W4" s="29">
        <v>0</v>
      </c>
      <c r="X4" s="35">
        <v>1</v>
      </c>
      <c r="Y4" s="13" t="s">
        <v>14</v>
      </c>
      <c r="Z4" s="31" t="s">
        <v>45</v>
      </c>
      <c r="AA4" s="13" t="s">
        <v>13</v>
      </c>
      <c r="AB4" s="39">
        <v>1</v>
      </c>
      <c r="AC4" s="30">
        <v>0</v>
      </c>
      <c r="AD4" s="13" t="s">
        <v>14</v>
      </c>
      <c r="AE4" s="31" t="s">
        <v>45</v>
      </c>
      <c r="AF4" s="13" t="s">
        <v>16</v>
      </c>
      <c r="AG4" s="334" t="s">
        <v>353</v>
      </c>
      <c r="AH4" s="334"/>
      <c r="AI4" s="334"/>
      <c r="AJ4" s="334"/>
    </row>
    <row r="5" ht="61.5" customHeight="1" spans="1:36">
      <c r="A5" s="11"/>
      <c r="B5" s="11"/>
      <c r="C5" s="12"/>
      <c r="D5" s="12"/>
      <c r="E5" s="12"/>
      <c r="F5" s="426"/>
      <c r="G5" s="428" t="s">
        <v>18</v>
      </c>
      <c r="H5" s="429" t="s">
        <v>354</v>
      </c>
      <c r="I5" s="430"/>
      <c r="J5" s="430"/>
      <c r="K5" s="430"/>
      <c r="L5" s="13" t="s">
        <v>20</v>
      </c>
      <c r="M5" s="32">
        <v>3</v>
      </c>
      <c r="N5" s="33">
        <v>0</v>
      </c>
      <c r="O5" s="13" t="s">
        <v>355</v>
      </c>
      <c r="P5" s="31" t="s">
        <v>22</v>
      </c>
      <c r="Q5" s="13" t="s">
        <v>20</v>
      </c>
      <c r="R5" s="43">
        <v>0</v>
      </c>
      <c r="S5" s="33">
        <v>0</v>
      </c>
      <c r="T5" s="13" t="s">
        <v>21</v>
      </c>
      <c r="U5" s="31" t="s">
        <v>22</v>
      </c>
      <c r="V5" s="13" t="s">
        <v>20</v>
      </c>
      <c r="W5" s="32">
        <v>3</v>
      </c>
      <c r="X5" s="33">
        <v>0</v>
      </c>
      <c r="Y5" s="13" t="s">
        <v>21</v>
      </c>
      <c r="Z5" s="31" t="s">
        <v>45</v>
      </c>
      <c r="AA5" s="13" t="s">
        <v>20</v>
      </c>
      <c r="AB5" s="32">
        <v>3</v>
      </c>
      <c r="AC5" s="36">
        <v>1</v>
      </c>
      <c r="AD5" s="13" t="s">
        <v>21</v>
      </c>
      <c r="AE5" s="31" t="s">
        <v>45</v>
      </c>
      <c r="AF5" s="13" t="s">
        <v>24</v>
      </c>
      <c r="AG5" s="335" t="s">
        <v>356</v>
      </c>
      <c r="AH5" s="335"/>
      <c r="AI5" s="335"/>
      <c r="AJ5" s="335"/>
    </row>
    <row r="6" ht="62.25" customHeight="1" spans="1:36">
      <c r="A6" s="16" t="s">
        <v>357</v>
      </c>
      <c r="B6" s="17" t="s">
        <v>358</v>
      </c>
      <c r="C6" s="17"/>
      <c r="D6" s="17"/>
      <c r="E6" s="17"/>
      <c r="F6" s="426"/>
      <c r="G6" s="428"/>
      <c r="H6" s="430"/>
      <c r="I6" s="430"/>
      <c r="J6" s="430"/>
      <c r="K6" s="430"/>
      <c r="L6" s="440" t="s">
        <v>28</v>
      </c>
      <c r="M6" s="441" t="s">
        <v>359</v>
      </c>
      <c r="N6" s="441"/>
      <c r="O6" s="441"/>
      <c r="P6" s="441"/>
      <c r="Q6" s="440" t="s">
        <v>28</v>
      </c>
      <c r="R6" s="445" t="s">
        <v>360</v>
      </c>
      <c r="S6" s="445"/>
      <c r="T6" s="445"/>
      <c r="U6" s="445"/>
      <c r="V6" s="440" t="s">
        <v>28</v>
      </c>
      <c r="W6" s="446" t="s">
        <v>361</v>
      </c>
      <c r="X6" s="446"/>
      <c r="Y6" s="446"/>
      <c r="Z6" s="446"/>
      <c r="AA6" s="440" t="s">
        <v>28</v>
      </c>
      <c r="AB6" s="450" t="s">
        <v>362</v>
      </c>
      <c r="AC6" s="450"/>
      <c r="AD6" s="450"/>
      <c r="AE6" s="450"/>
      <c r="AF6" s="13"/>
      <c r="AG6" s="335"/>
      <c r="AH6" s="335"/>
      <c r="AI6" s="335"/>
      <c r="AJ6" s="335"/>
    </row>
    <row r="7" ht="20.75" customHeight="1" spans="1:36">
      <c r="A7" s="16" t="s">
        <v>363</v>
      </c>
      <c r="B7" s="17" t="s">
        <v>364</v>
      </c>
      <c r="C7" s="17"/>
      <c r="D7" s="17"/>
      <c r="E7" s="17"/>
      <c r="F7" s="431" t="s">
        <v>35</v>
      </c>
      <c r="G7" s="427" t="s">
        <v>36</v>
      </c>
      <c r="H7" s="427"/>
      <c r="I7" s="427"/>
      <c r="J7" s="427"/>
      <c r="K7" s="427"/>
      <c r="L7" s="10" t="s">
        <v>365</v>
      </c>
      <c r="M7" s="10"/>
      <c r="N7" s="10"/>
      <c r="O7" s="10"/>
      <c r="P7" s="10"/>
      <c r="Q7" s="10" t="s">
        <v>366</v>
      </c>
      <c r="R7" s="10"/>
      <c r="S7" s="10"/>
      <c r="T7" s="10"/>
      <c r="U7" s="10"/>
      <c r="V7" s="10" t="s">
        <v>367</v>
      </c>
      <c r="W7" s="10"/>
      <c r="X7" s="10"/>
      <c r="Y7" s="10"/>
      <c r="Z7" s="10"/>
      <c r="AA7" s="10" t="s">
        <v>368</v>
      </c>
      <c r="AB7" s="10"/>
      <c r="AC7" s="10"/>
      <c r="AD7" s="10"/>
      <c r="AE7" s="10"/>
      <c r="AF7" s="10" t="s">
        <v>41</v>
      </c>
      <c r="AG7" s="10"/>
      <c r="AH7" s="10"/>
      <c r="AI7" s="10"/>
      <c r="AJ7" s="10"/>
    </row>
    <row r="8" ht="60" customHeight="1" spans="1:36">
      <c r="A8" s="16"/>
      <c r="B8" s="17"/>
      <c r="C8" s="17"/>
      <c r="D8" s="17"/>
      <c r="E8" s="17"/>
      <c r="F8" s="431"/>
      <c r="G8" s="428" t="s">
        <v>11</v>
      </c>
      <c r="H8" s="14" t="s">
        <v>369</v>
      </c>
      <c r="I8" s="14"/>
      <c r="J8" s="14"/>
      <c r="K8" s="14"/>
      <c r="L8" s="13" t="s">
        <v>13</v>
      </c>
      <c r="M8" s="39">
        <v>1</v>
      </c>
      <c r="N8" s="30">
        <v>0</v>
      </c>
      <c r="O8" s="13" t="s">
        <v>14</v>
      </c>
      <c r="P8" s="31" t="s">
        <v>44</v>
      </c>
      <c r="Q8" s="13" t="s">
        <v>13</v>
      </c>
      <c r="R8" s="29">
        <v>0</v>
      </c>
      <c r="S8" s="35">
        <v>1</v>
      </c>
      <c r="T8" s="13" t="s">
        <v>14</v>
      </c>
      <c r="U8" s="31" t="s">
        <v>44</v>
      </c>
      <c r="V8" s="13" t="s">
        <v>13</v>
      </c>
      <c r="W8" s="39">
        <v>1</v>
      </c>
      <c r="X8" s="30">
        <v>0</v>
      </c>
      <c r="Y8" s="13" t="s">
        <v>14</v>
      </c>
      <c r="Z8" s="439" t="str">
        <f>_xlfn.DISPIMG("ID_9786474967E94C57B1093B255C807353",1)</f>
        <v>=DISPIMG("ID_9786474967E94C57B1093B255C807353",1)</v>
      </c>
      <c r="AA8" s="13" t="s">
        <v>13</v>
      </c>
      <c r="AB8" s="29">
        <v>0</v>
      </c>
      <c r="AC8" s="30">
        <v>0</v>
      </c>
      <c r="AD8" s="13" t="s">
        <v>14</v>
      </c>
      <c r="AE8" s="31" t="s">
        <v>45</v>
      </c>
      <c r="AF8" s="13" t="s">
        <v>16</v>
      </c>
      <c r="AG8" s="334" t="s">
        <v>370</v>
      </c>
      <c r="AH8" s="334"/>
      <c r="AI8" s="334"/>
      <c r="AJ8" s="334"/>
    </row>
    <row r="9" ht="60" customHeight="1" spans="1:36">
      <c r="A9" s="16"/>
      <c r="B9" s="17"/>
      <c r="C9" s="17"/>
      <c r="D9" s="17"/>
      <c r="E9" s="17"/>
      <c r="F9" s="431"/>
      <c r="G9" s="428" t="s">
        <v>18</v>
      </c>
      <c r="H9" s="15" t="s">
        <v>371</v>
      </c>
      <c r="I9" s="15"/>
      <c r="J9" s="15"/>
      <c r="K9" s="15"/>
      <c r="L9" s="13" t="s">
        <v>20</v>
      </c>
      <c r="M9" s="32">
        <v>6</v>
      </c>
      <c r="N9" s="33">
        <v>0</v>
      </c>
      <c r="O9" s="13" t="s">
        <v>21</v>
      </c>
      <c r="P9" s="31" t="s">
        <v>22</v>
      </c>
      <c r="Q9" s="13" t="s">
        <v>20</v>
      </c>
      <c r="R9" s="32">
        <v>3</v>
      </c>
      <c r="S9" s="33">
        <v>0</v>
      </c>
      <c r="T9" s="13" t="s">
        <v>21</v>
      </c>
      <c r="U9" s="31" t="s">
        <v>22</v>
      </c>
      <c r="V9" s="13" t="s">
        <v>20</v>
      </c>
      <c r="W9" s="43">
        <v>0</v>
      </c>
      <c r="X9" s="33">
        <v>0</v>
      </c>
      <c r="Y9" s="13" t="s">
        <v>21</v>
      </c>
      <c r="Z9" s="31" t="s">
        <v>22</v>
      </c>
      <c r="AA9" s="13" t="s">
        <v>20</v>
      </c>
      <c r="AB9" s="32">
        <v>5</v>
      </c>
      <c r="AC9" s="36">
        <v>2</v>
      </c>
      <c r="AD9" s="13" t="s">
        <v>21</v>
      </c>
      <c r="AE9" s="31" t="s">
        <v>45</v>
      </c>
      <c r="AF9" s="13" t="s">
        <v>24</v>
      </c>
      <c r="AG9" s="335" t="s">
        <v>372</v>
      </c>
      <c r="AH9" s="335"/>
      <c r="AI9" s="335"/>
      <c r="AJ9" s="335"/>
    </row>
    <row r="10" ht="61.5" customHeight="1" spans="1:36">
      <c r="A10" s="16" t="s">
        <v>373</v>
      </c>
      <c r="B10" s="17" t="s">
        <v>374</v>
      </c>
      <c r="C10" s="17"/>
      <c r="D10" s="17"/>
      <c r="E10" s="17"/>
      <c r="F10" s="431"/>
      <c r="G10" s="428"/>
      <c r="H10" s="15"/>
      <c r="I10" s="15"/>
      <c r="J10" s="15"/>
      <c r="K10" s="15"/>
      <c r="L10" s="440" t="s">
        <v>28</v>
      </c>
      <c r="M10" s="442" t="s">
        <v>375</v>
      </c>
      <c r="N10" s="442"/>
      <c r="O10" s="442"/>
      <c r="P10" s="442"/>
      <c r="Q10" s="440" t="s">
        <v>28</v>
      </c>
      <c r="R10" s="442" t="s">
        <v>376</v>
      </c>
      <c r="S10" s="442"/>
      <c r="T10" s="442"/>
      <c r="U10" s="442"/>
      <c r="V10" s="440" t="s">
        <v>28</v>
      </c>
      <c r="W10" s="447" t="s">
        <v>377</v>
      </c>
      <c r="X10" s="447"/>
      <c r="Y10" s="447"/>
      <c r="Z10" s="447"/>
      <c r="AA10" s="440" t="s">
        <v>28</v>
      </c>
      <c r="AB10" s="450" t="s">
        <v>378</v>
      </c>
      <c r="AC10" s="450"/>
      <c r="AD10" s="450"/>
      <c r="AE10" s="450"/>
      <c r="AF10" s="13"/>
      <c r="AG10" s="335"/>
      <c r="AH10" s="335"/>
      <c r="AI10" s="335"/>
      <c r="AJ10" s="335"/>
    </row>
    <row r="11" ht="21.5" customHeight="1" spans="1:36">
      <c r="A11" s="7"/>
      <c r="B11" s="7"/>
      <c r="C11" s="7"/>
      <c r="D11" s="7"/>
      <c r="E11" s="7"/>
      <c r="F11" s="432" t="s">
        <v>55</v>
      </c>
      <c r="G11" s="427" t="s">
        <v>56</v>
      </c>
      <c r="H11" s="427"/>
      <c r="I11" s="427"/>
      <c r="J11" s="427"/>
      <c r="K11" s="427"/>
      <c r="L11" s="10" t="s">
        <v>379</v>
      </c>
      <c r="M11" s="10"/>
      <c r="N11" s="10"/>
      <c r="O11" s="10"/>
      <c r="P11" s="10"/>
      <c r="Q11" s="10" t="s">
        <v>380</v>
      </c>
      <c r="R11" s="10"/>
      <c r="S11" s="10"/>
      <c r="T11" s="10"/>
      <c r="U11" s="10"/>
      <c r="V11" s="10" t="s">
        <v>381</v>
      </c>
      <c r="W11" s="10"/>
      <c r="X11" s="10"/>
      <c r="Y11" s="10"/>
      <c r="Z11" s="10"/>
      <c r="AA11" s="10" t="s">
        <v>382</v>
      </c>
      <c r="AB11" s="10"/>
      <c r="AC11" s="10"/>
      <c r="AD11" s="10"/>
      <c r="AE11" s="10"/>
      <c r="AF11" s="10" t="s">
        <v>61</v>
      </c>
      <c r="AG11" s="10"/>
      <c r="AH11" s="10"/>
      <c r="AI11" s="10"/>
      <c r="AJ11" s="10"/>
    </row>
    <row r="12" ht="60.75" customHeight="1" spans="1:36">
      <c r="A12" s="20" t="s">
        <v>383</v>
      </c>
      <c r="B12" s="21" t="str">
        <f>_xlfn.DISPIMG("ID_DA07042A3DC548E098BD7D353F325826",1)</f>
        <v>=DISPIMG("ID_DA07042A3DC548E098BD7D353F325826",1)</v>
      </c>
      <c r="C12" s="21"/>
      <c r="D12" s="21"/>
      <c r="E12" s="21"/>
      <c r="F12" s="432"/>
      <c r="G12" s="428" t="s">
        <v>11</v>
      </c>
      <c r="H12" s="433" t="s">
        <v>384</v>
      </c>
      <c r="I12" s="433"/>
      <c r="J12" s="433"/>
      <c r="K12" s="433"/>
      <c r="L12" s="13" t="s">
        <v>13</v>
      </c>
      <c r="M12" s="39">
        <v>1</v>
      </c>
      <c r="N12" s="30">
        <v>0</v>
      </c>
      <c r="O12" s="13" t="s">
        <v>14</v>
      </c>
      <c r="P12" s="31" t="s">
        <v>44</v>
      </c>
      <c r="Q12" s="13" t="s">
        <v>13</v>
      </c>
      <c r="R12" s="29">
        <v>0</v>
      </c>
      <c r="S12" s="35">
        <v>1</v>
      </c>
      <c r="T12" s="13" t="s">
        <v>14</v>
      </c>
      <c r="U12" s="31" t="s">
        <v>44</v>
      </c>
      <c r="V12" s="13" t="s">
        <v>13</v>
      </c>
      <c r="W12" s="29">
        <v>0</v>
      </c>
      <c r="X12" s="30">
        <v>0</v>
      </c>
      <c r="Y12" s="13" t="s">
        <v>14</v>
      </c>
      <c r="Z12" s="31" t="s">
        <v>45</v>
      </c>
      <c r="AA12" s="13" t="s">
        <v>13</v>
      </c>
      <c r="AB12" s="39">
        <v>1</v>
      </c>
      <c r="AC12" s="30">
        <v>0</v>
      </c>
      <c r="AD12" s="13" t="s">
        <v>14</v>
      </c>
      <c r="AE12" s="31" t="s">
        <v>45</v>
      </c>
      <c r="AF12" s="13" t="s">
        <v>16</v>
      </c>
      <c r="AG12" s="49" t="s">
        <v>385</v>
      </c>
      <c r="AH12" s="49"/>
      <c r="AI12" s="49"/>
      <c r="AJ12" s="49"/>
    </row>
    <row r="13" ht="60.75" customHeight="1" spans="1:36">
      <c r="A13" s="20"/>
      <c r="B13" s="21"/>
      <c r="C13" s="21"/>
      <c r="D13" s="21"/>
      <c r="E13" s="21"/>
      <c r="F13" s="432"/>
      <c r="G13" s="428" t="s">
        <v>18</v>
      </c>
      <c r="H13" s="434" t="s">
        <v>386</v>
      </c>
      <c r="I13" s="434"/>
      <c r="J13" s="434"/>
      <c r="K13" s="434"/>
      <c r="L13" s="13" t="s">
        <v>20</v>
      </c>
      <c r="M13" s="32">
        <v>10</v>
      </c>
      <c r="N13" s="33">
        <v>0</v>
      </c>
      <c r="O13" s="13" t="s">
        <v>21</v>
      </c>
      <c r="P13" s="31" t="s">
        <v>22</v>
      </c>
      <c r="Q13" s="13" t="s">
        <v>20</v>
      </c>
      <c r="R13" s="32">
        <v>2</v>
      </c>
      <c r="S13" s="33">
        <v>0</v>
      </c>
      <c r="T13" s="13" t="s">
        <v>21</v>
      </c>
      <c r="U13" s="31" t="s">
        <v>22</v>
      </c>
      <c r="V13" s="13" t="s">
        <v>20</v>
      </c>
      <c r="W13" s="32">
        <v>2</v>
      </c>
      <c r="X13" s="36">
        <v>2</v>
      </c>
      <c r="Y13" s="13" t="s">
        <v>21</v>
      </c>
      <c r="Z13" s="31" t="s">
        <v>45</v>
      </c>
      <c r="AA13" s="13" t="s">
        <v>20</v>
      </c>
      <c r="AB13" s="32">
        <v>2</v>
      </c>
      <c r="AC13" s="36">
        <v>0</v>
      </c>
      <c r="AD13" s="13" t="s">
        <v>21</v>
      </c>
      <c r="AE13" s="31" t="s">
        <v>45</v>
      </c>
      <c r="AF13" s="13" t="s">
        <v>24</v>
      </c>
      <c r="AG13" s="50" t="s">
        <v>387</v>
      </c>
      <c r="AH13" s="50"/>
      <c r="AI13" s="50"/>
      <c r="AJ13" s="50"/>
    </row>
    <row r="14" ht="61.5" customHeight="1" spans="1:36">
      <c r="A14" s="20"/>
      <c r="B14" s="21"/>
      <c r="C14" s="21"/>
      <c r="D14" s="21"/>
      <c r="E14" s="21"/>
      <c r="F14" s="432"/>
      <c r="G14" s="428"/>
      <c r="H14" s="434"/>
      <c r="I14" s="434"/>
      <c r="J14" s="434"/>
      <c r="K14" s="434"/>
      <c r="L14" s="440" t="s">
        <v>28</v>
      </c>
      <c r="M14" s="442" t="s">
        <v>388</v>
      </c>
      <c r="N14" s="442"/>
      <c r="O14" s="442"/>
      <c r="P14" s="442"/>
      <c r="Q14" s="440" t="s">
        <v>28</v>
      </c>
      <c r="R14" s="445" t="s">
        <v>389</v>
      </c>
      <c r="S14" s="445"/>
      <c r="T14" s="445"/>
      <c r="U14" s="445"/>
      <c r="V14" s="440" t="s">
        <v>28</v>
      </c>
      <c r="W14" s="446" t="s">
        <v>390</v>
      </c>
      <c r="X14" s="446"/>
      <c r="Y14" s="446"/>
      <c r="Z14" s="446"/>
      <c r="AA14" s="440" t="s">
        <v>28</v>
      </c>
      <c r="AB14" s="450" t="s">
        <v>391</v>
      </c>
      <c r="AC14" s="450"/>
      <c r="AD14" s="450"/>
      <c r="AE14" s="450"/>
      <c r="AF14" s="13"/>
      <c r="AG14" s="50"/>
      <c r="AH14" s="50"/>
      <c r="AI14" s="50"/>
      <c r="AJ14" s="50"/>
    </row>
    <row r="15" ht="21.5" customHeight="1" spans="1:36">
      <c r="A15" s="24"/>
      <c r="B15" s="24"/>
      <c r="C15" s="24"/>
      <c r="D15" s="24"/>
      <c r="E15" s="24"/>
      <c r="F15" s="435" t="s">
        <v>77</v>
      </c>
      <c r="G15" s="427" t="s">
        <v>392</v>
      </c>
      <c r="H15" s="427"/>
      <c r="I15" s="427"/>
      <c r="J15" s="427"/>
      <c r="K15" s="427"/>
      <c r="L15" s="10" t="s">
        <v>393</v>
      </c>
      <c r="M15" s="10"/>
      <c r="N15" s="10"/>
      <c r="O15" s="10"/>
      <c r="P15" s="10"/>
      <c r="Q15" s="10" t="s">
        <v>394</v>
      </c>
      <c r="R15" s="10"/>
      <c r="S15" s="10"/>
      <c r="T15" s="10"/>
      <c r="U15" s="10"/>
      <c r="V15" s="10" t="s">
        <v>395</v>
      </c>
      <c r="W15" s="10"/>
      <c r="X15" s="10"/>
      <c r="Y15" s="10"/>
      <c r="Z15" s="10"/>
      <c r="AA15" s="10" t="s">
        <v>396</v>
      </c>
      <c r="AB15" s="10"/>
      <c r="AC15" s="10"/>
      <c r="AD15" s="10"/>
      <c r="AE15" s="10"/>
      <c r="AF15" s="10" t="s">
        <v>397</v>
      </c>
      <c r="AG15" s="10"/>
      <c r="AH15" s="10"/>
      <c r="AI15" s="10"/>
      <c r="AJ15" s="10"/>
    </row>
    <row r="16" ht="61.5" customHeight="1" spans="1:36">
      <c r="A16" s="25" t="s">
        <v>398</v>
      </c>
      <c r="B16" s="86" t="s">
        <v>84</v>
      </c>
      <c r="C16" s="87"/>
      <c r="D16" s="87"/>
      <c r="E16" s="87"/>
      <c r="F16" s="435"/>
      <c r="G16" s="428" t="s">
        <v>16</v>
      </c>
      <c r="H16" s="436" t="s">
        <v>399</v>
      </c>
      <c r="I16" s="436"/>
      <c r="J16" s="436"/>
      <c r="K16" s="436"/>
      <c r="L16" s="13" t="s">
        <v>13</v>
      </c>
      <c r="M16" s="39">
        <v>1</v>
      </c>
      <c r="N16" s="35">
        <v>1</v>
      </c>
      <c r="O16" s="13" t="s">
        <v>14</v>
      </c>
      <c r="P16" s="31" t="s">
        <v>400</v>
      </c>
      <c r="Q16" s="13" t="s">
        <v>13</v>
      </c>
      <c r="R16" s="39">
        <v>1</v>
      </c>
      <c r="S16" s="30">
        <v>0</v>
      </c>
      <c r="T16" s="13" t="s">
        <v>14</v>
      </c>
      <c r="U16" s="31" t="s">
        <v>44</v>
      </c>
      <c r="V16" s="13" t="s">
        <v>13</v>
      </c>
      <c r="W16" s="39">
        <v>1</v>
      </c>
      <c r="X16" s="30">
        <v>0</v>
      </c>
      <c r="Y16" s="13" t="s">
        <v>14</v>
      </c>
      <c r="Z16" s="31" t="s">
        <v>44</v>
      </c>
      <c r="AA16" s="13" t="s">
        <v>13</v>
      </c>
      <c r="AB16" s="29">
        <v>0</v>
      </c>
      <c r="AC16" s="30">
        <v>0</v>
      </c>
      <c r="AD16" s="13" t="s">
        <v>14</v>
      </c>
      <c r="AE16" s="31" t="s">
        <v>45</v>
      </c>
      <c r="AF16" s="13" t="s">
        <v>16</v>
      </c>
      <c r="AG16" s="49" t="s">
        <v>397</v>
      </c>
      <c r="AH16" s="49"/>
      <c r="AI16" s="49"/>
      <c r="AJ16" s="49"/>
    </row>
    <row r="17" ht="61.5" customHeight="1" spans="1:36">
      <c r="A17" s="25" t="s">
        <v>401</v>
      </c>
      <c r="B17" s="86" t="s">
        <v>88</v>
      </c>
      <c r="C17" s="87"/>
      <c r="D17" s="87"/>
      <c r="E17" s="87"/>
      <c r="F17" s="435"/>
      <c r="G17" s="428" t="s">
        <v>24</v>
      </c>
      <c r="H17" s="437" t="s">
        <v>402</v>
      </c>
      <c r="I17" s="437"/>
      <c r="J17" s="437"/>
      <c r="K17" s="437"/>
      <c r="L17" s="13" t="s">
        <v>20</v>
      </c>
      <c r="M17" s="43">
        <v>0</v>
      </c>
      <c r="N17" s="36">
        <v>1</v>
      </c>
      <c r="O17" s="13" t="s">
        <v>21</v>
      </c>
      <c r="P17" s="439" t="str">
        <f>_xlfn.DISPIMG("ID_DDB8380B767642F281E1071C715C023C",1)</f>
        <v>=DISPIMG("ID_DDB8380B767642F281E1071C715C023C",1)</v>
      </c>
      <c r="Q17" s="13" t="s">
        <v>20</v>
      </c>
      <c r="R17" s="32">
        <v>4</v>
      </c>
      <c r="S17" s="33">
        <v>0</v>
      </c>
      <c r="T17" s="13" t="s">
        <v>21</v>
      </c>
      <c r="U17" s="31" t="s">
        <v>22</v>
      </c>
      <c r="V17" s="13" t="s">
        <v>20</v>
      </c>
      <c r="W17" s="32">
        <v>2</v>
      </c>
      <c r="X17" s="33">
        <v>0</v>
      </c>
      <c r="Y17" s="13" t="s">
        <v>21</v>
      </c>
      <c r="Z17" s="31" t="s">
        <v>198</v>
      </c>
      <c r="AA17" s="13" t="s">
        <v>20</v>
      </c>
      <c r="AB17" s="32">
        <v>8</v>
      </c>
      <c r="AC17" s="36">
        <v>1</v>
      </c>
      <c r="AD17" s="13" t="s">
        <v>21</v>
      </c>
      <c r="AE17" s="31" t="s">
        <v>45</v>
      </c>
      <c r="AF17" s="13" t="s">
        <v>24</v>
      </c>
      <c r="AG17" s="50" t="s">
        <v>403</v>
      </c>
      <c r="AH17" s="50"/>
      <c r="AI17" s="50"/>
      <c r="AJ17" s="50"/>
    </row>
    <row r="18" ht="67.5" customHeight="1" spans="1:36">
      <c r="A18" s="27" t="s">
        <v>404</v>
      </c>
      <c r="B18" s="91" t="s">
        <v>93</v>
      </c>
      <c r="C18" s="92"/>
      <c r="D18" s="92"/>
      <c r="E18" s="92"/>
      <c r="F18" s="435"/>
      <c r="G18" s="428"/>
      <c r="H18" s="437"/>
      <c r="I18" s="437"/>
      <c r="J18" s="437"/>
      <c r="K18" s="437"/>
      <c r="L18" s="443" t="s">
        <v>28</v>
      </c>
      <c r="M18" s="444" t="s">
        <v>405</v>
      </c>
      <c r="N18" s="444"/>
      <c r="O18" s="444"/>
      <c r="P18" s="444"/>
      <c r="Q18" s="443" t="s">
        <v>28</v>
      </c>
      <c r="R18" s="448" t="s">
        <v>406</v>
      </c>
      <c r="S18" s="448"/>
      <c r="T18" s="448"/>
      <c r="U18" s="448"/>
      <c r="V18" s="443" t="s">
        <v>28</v>
      </c>
      <c r="W18" s="448" t="s">
        <v>407</v>
      </c>
      <c r="X18" s="448"/>
      <c r="Y18" s="448"/>
      <c r="Z18" s="448"/>
      <c r="AA18" s="443" t="s">
        <v>28</v>
      </c>
      <c r="AB18" s="451" t="s">
        <v>408</v>
      </c>
      <c r="AC18" s="451"/>
      <c r="AD18" s="451"/>
      <c r="AE18" s="451"/>
      <c r="AF18" s="13"/>
      <c r="AG18" s="50"/>
      <c r="AH18" s="50"/>
      <c r="AI18" s="50"/>
      <c r="AJ18" s="50"/>
    </row>
    <row r="47" spans="18:18">
      <c r="R47"/>
    </row>
  </sheetData>
  <sheetProtection selectLockedCells="1" formatCells="0" formatColumns="0" formatRows="0" insertRows="0" insertColumns="0" insertHyperlinks="0" deleteColumns="0" deleteRows="0" sort="0" autoFilter="0" pivotTables="0"/>
  <mergeCells count="86">
    <mergeCell ref="B1:C1"/>
    <mergeCell ref="D1:E1"/>
    <mergeCell ref="L1:P1"/>
    <mergeCell ref="Q1:U1"/>
    <mergeCell ref="V1:Z1"/>
    <mergeCell ref="AA1:AE1"/>
    <mergeCell ref="AF1:AJ1"/>
    <mergeCell ref="G3:K3"/>
    <mergeCell ref="L3:P3"/>
    <mergeCell ref="Q3:U3"/>
    <mergeCell ref="V3:Z3"/>
    <mergeCell ref="AA3:AE3"/>
    <mergeCell ref="AF3:AJ3"/>
    <mergeCell ref="H4:K4"/>
    <mergeCell ref="AG4:AJ4"/>
    <mergeCell ref="B6:E6"/>
    <mergeCell ref="M6:P6"/>
    <mergeCell ref="R6:U6"/>
    <mergeCell ref="W6:Z6"/>
    <mergeCell ref="AB6:AE6"/>
    <mergeCell ref="G7:K7"/>
    <mergeCell ref="L7:P7"/>
    <mergeCell ref="Q7:U7"/>
    <mergeCell ref="V7:Z7"/>
    <mergeCell ref="AA7:AE7"/>
    <mergeCell ref="AF7:AJ7"/>
    <mergeCell ref="H8:K8"/>
    <mergeCell ref="AG8:AJ8"/>
    <mergeCell ref="B10:E10"/>
    <mergeCell ref="M10:P10"/>
    <mergeCell ref="R10:U10"/>
    <mergeCell ref="W10:Z10"/>
    <mergeCell ref="AB10:AE10"/>
    <mergeCell ref="G11:K11"/>
    <mergeCell ref="L11:P11"/>
    <mergeCell ref="Q11:U11"/>
    <mergeCell ref="V11:Z11"/>
    <mergeCell ref="AA11:AE11"/>
    <mergeCell ref="AF11:AJ11"/>
    <mergeCell ref="H12:K12"/>
    <mergeCell ref="AG12:AJ12"/>
    <mergeCell ref="M14:P14"/>
    <mergeCell ref="R14:U14"/>
    <mergeCell ref="W14:Z14"/>
    <mergeCell ref="AB14:AE14"/>
    <mergeCell ref="G15:K15"/>
    <mergeCell ref="L15:P15"/>
    <mergeCell ref="Q15:U15"/>
    <mergeCell ref="V15:Z15"/>
    <mergeCell ref="AA15:AE15"/>
    <mergeCell ref="AF15:AJ15"/>
    <mergeCell ref="B16:E16"/>
    <mergeCell ref="H16:K16"/>
    <mergeCell ref="AG16:AJ16"/>
    <mergeCell ref="B17:E17"/>
    <mergeCell ref="B18:E18"/>
    <mergeCell ref="M18:P18"/>
    <mergeCell ref="R18:U18"/>
    <mergeCell ref="W18:Z18"/>
    <mergeCell ref="AB18:AE18"/>
    <mergeCell ref="A7:A9"/>
    <mergeCell ref="A12:A14"/>
    <mergeCell ref="F3:F6"/>
    <mergeCell ref="F7:F10"/>
    <mergeCell ref="F11:F14"/>
    <mergeCell ref="F15:F18"/>
    <mergeCell ref="G5:G6"/>
    <mergeCell ref="G9:G10"/>
    <mergeCell ref="G13:G14"/>
    <mergeCell ref="G17:G18"/>
    <mergeCell ref="AF5:AF6"/>
    <mergeCell ref="AF9:AF10"/>
    <mergeCell ref="AF13:AF14"/>
    <mergeCell ref="AF17:AF18"/>
    <mergeCell ref="A4:B5"/>
    <mergeCell ref="C4:E5"/>
    <mergeCell ref="H5:K6"/>
    <mergeCell ref="AG5:AJ6"/>
    <mergeCell ref="B7:E9"/>
    <mergeCell ref="H9:K10"/>
    <mergeCell ref="AG9:AJ10"/>
    <mergeCell ref="B12:E14"/>
    <mergeCell ref="H13:K14"/>
    <mergeCell ref="AG13:AJ14"/>
    <mergeCell ref="H17:K18"/>
    <mergeCell ref="AG17:AJ18"/>
  </mergeCells>
  <conditionalFormatting sqref="M4:N5 R4:S5 M8:N9 R8:S9 W4:X5 W8:X9 M12:N13 R12:S13 W12:X13 M16:N17 R16:S17 W16:X17">
    <cfRule type="cellIs" dxfId="1" priority="5" operator="equal">
      <formula>0</formula>
    </cfRule>
  </conditionalFormatting>
  <conditionalFormatting sqref="M4 R4 W4 AB4 AB8 W8 R8 M8 M12 R12 W12 AB12 M16 R16 W16 AB16">
    <cfRule type="cellIs" dxfId="0" priority="1" operator="equal">
      <formula>0</formula>
    </cfRule>
  </conditionalFormatting>
  <conditionalFormatting sqref="N4 S4 X4 AC4 AC8 X8 N8 N12 S12 S8 X12 AC12 AC16 X16 S16 N16">
    <cfRule type="cellIs" dxfId="0" priority="2" operator="equal">
      <formula>0</formula>
    </cfRule>
  </conditionalFormatting>
  <conditionalFormatting sqref="AB4:AC5 AB8:AC9 AB12:AC13 AB16:AC17">
    <cfRule type="cellIs" dxfId="1" priority="3" operator="equal">
      <formula>0</formula>
    </cfRule>
  </conditionalFormatting>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
  <sheetViews>
    <sheetView showGridLines="0" zoomScale="85" zoomScaleNormal="85" workbookViewId="0">
      <selection activeCell="L6" sqref="L6"/>
    </sheetView>
  </sheetViews>
  <sheetFormatPr defaultColWidth="8.89090909090909" defaultRowHeight="14" outlineLevelRow="6"/>
  <cols>
    <col min="1" max="2" width="9.92727272727273" customWidth="1"/>
    <col min="4" max="4" width="24.9636363636364" customWidth="1"/>
    <col min="5" max="5" width="4.10909090909091" style="396" customWidth="1"/>
    <col min="6" max="6" width="58.2272727272727" hidden="1" customWidth="1"/>
    <col min="7" max="7" width="29.6727272727273" style="396" customWidth="1"/>
    <col min="8" max="8" width="23.9090909090909" style="396" customWidth="1"/>
    <col min="9" max="9" width="20.1181818181818" style="396" customWidth="1"/>
    <col min="10" max="10" width="19.4727272727273" style="396" customWidth="1"/>
    <col min="11" max="11" width="18.5727272727273" style="396" customWidth="1"/>
    <col min="12" max="12" width="18.6818181818182" style="396" customWidth="1"/>
  </cols>
  <sheetData>
    <row r="1" ht="50" customHeight="1" spans="1:4">
      <c r="A1" s="397" t="str">
        <f>_xlfn.DISPIMG("ID_B8866FF8443B4D5096579B7AE4F8D3EB",1)</f>
        <v>=DISPIMG("ID_B8866FF8443B4D5096579B7AE4F8D3EB",1)</v>
      </c>
      <c r="B1" s="398" t="s">
        <v>345</v>
      </c>
      <c r="C1" s="398"/>
      <c r="D1" s="399" t="s">
        <v>346</v>
      </c>
    </row>
    <row r="2" ht="21" customHeight="1" spans="1:4">
      <c r="A2" s="53"/>
      <c r="B2" s="53"/>
      <c r="C2" s="53"/>
      <c r="D2" s="53"/>
    </row>
    <row r="3" ht="18" spans="1:12">
      <c r="A3" s="400"/>
      <c r="B3" s="401"/>
      <c r="C3" s="401"/>
      <c r="D3" s="401"/>
      <c r="E3" s="402"/>
      <c r="F3" s="403" t="s">
        <v>409</v>
      </c>
      <c r="G3" s="404" t="s">
        <v>410</v>
      </c>
      <c r="H3" s="404" t="s">
        <v>411</v>
      </c>
      <c r="I3" s="404" t="s">
        <v>412</v>
      </c>
      <c r="J3" s="404" t="s">
        <v>413</v>
      </c>
      <c r="K3" s="404" t="s">
        <v>414</v>
      </c>
      <c r="L3" s="420" t="s">
        <v>415</v>
      </c>
    </row>
    <row r="4" ht="146" customHeight="1" spans="1:12">
      <c r="A4" s="405" t="str">
        <f>_xlfn.DISPIMG("ID_29B33786BB7E433C91D14FE25C8230AE",1)</f>
        <v>=DISPIMG("ID_29B33786BB7E433C91D14FE25C8230AE",1)</v>
      </c>
      <c r="B4" s="406"/>
      <c r="C4" s="406"/>
      <c r="D4" s="407" t="s">
        <v>416</v>
      </c>
      <c r="E4" s="408" t="s">
        <v>3</v>
      </c>
      <c r="F4" s="409" t="s">
        <v>417</v>
      </c>
      <c r="G4" s="410" t="s">
        <v>418</v>
      </c>
      <c r="H4" s="411" t="s">
        <v>419</v>
      </c>
      <c r="I4" s="411" t="s">
        <v>420</v>
      </c>
      <c r="J4" s="411" t="s">
        <v>421</v>
      </c>
      <c r="K4" s="411" t="s">
        <v>422</v>
      </c>
      <c r="L4" s="421" t="s">
        <v>423</v>
      </c>
    </row>
    <row r="5" ht="120" customHeight="1" spans="1:12">
      <c r="A5" s="412" t="s">
        <v>424</v>
      </c>
      <c r="B5" s="413" t="s">
        <v>425</v>
      </c>
      <c r="C5" s="414"/>
      <c r="D5" s="414"/>
      <c r="E5" s="408" t="s">
        <v>35</v>
      </c>
      <c r="F5" s="409" t="s">
        <v>426</v>
      </c>
      <c r="G5" s="410" t="s">
        <v>427</v>
      </c>
      <c r="H5" s="411" t="s">
        <v>428</v>
      </c>
      <c r="I5" s="411" t="s">
        <v>429</v>
      </c>
      <c r="J5" s="411" t="s">
        <v>430</v>
      </c>
      <c r="K5" s="411" t="s">
        <v>431</v>
      </c>
      <c r="L5" s="421" t="s">
        <v>432</v>
      </c>
    </row>
    <row r="6" ht="143" customHeight="1" spans="1:12">
      <c r="A6" s="415" t="s">
        <v>433</v>
      </c>
      <c r="B6" s="413" t="s">
        <v>434</v>
      </c>
      <c r="C6" s="414"/>
      <c r="D6" s="414"/>
      <c r="E6" s="416" t="s">
        <v>55</v>
      </c>
      <c r="F6" s="417" t="s">
        <v>435</v>
      </c>
      <c r="G6" s="418" t="s">
        <v>436</v>
      </c>
      <c r="H6" s="419" t="s">
        <v>437</v>
      </c>
      <c r="I6" s="419" t="s">
        <v>438</v>
      </c>
      <c r="J6" s="419" t="s">
        <v>439</v>
      </c>
      <c r="K6" s="419" t="s">
        <v>440</v>
      </c>
      <c r="L6" s="422" t="s">
        <v>441</v>
      </c>
    </row>
    <row r="7" ht="74" customHeight="1" spans="5:5">
      <c r="E7" s="396" t="s">
        <v>77</v>
      </c>
    </row>
  </sheetData>
  <sheetProtection formatCells="0" formatColumns="0" formatRows="0" insertRows="0" insertColumns="0" insertHyperlinks="0" deleteColumns="0" deleteRows="0" sort="0" autoFilter="0" pivotTables="0"/>
  <mergeCells count="4">
    <mergeCell ref="B1:C1"/>
    <mergeCell ref="A4:C4"/>
    <mergeCell ref="B5:D5"/>
    <mergeCell ref="B6:D6"/>
  </mergeCell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47"/>
  <sheetViews>
    <sheetView showGridLines="0" zoomScale="85" zoomScaleNormal="85" topLeftCell="A4" workbookViewId="0">
      <selection activeCell="B6" sqref="B6:E6"/>
    </sheetView>
  </sheetViews>
  <sheetFormatPr defaultColWidth="8.89090909090909" defaultRowHeight="16.5"/>
  <cols>
    <col min="1" max="5" width="10" style="1" customWidth="1"/>
    <col min="6" max="7" width="5" style="1" customWidth="1"/>
    <col min="8" max="11" width="10" style="1" customWidth="1"/>
    <col min="12" max="12" width="5" style="1" customWidth="1"/>
    <col min="13" max="14" width="10" style="1" customWidth="1"/>
    <col min="15" max="15" width="5" style="1" customWidth="1"/>
    <col min="16" max="16" width="20" style="1" customWidth="1"/>
    <col min="17" max="17" width="5" style="1" customWidth="1"/>
    <col min="18" max="19" width="10" style="1" customWidth="1"/>
    <col min="20" max="20" width="5" style="1" customWidth="1"/>
    <col min="21" max="21" width="20" style="1" customWidth="1"/>
    <col min="22" max="22" width="5" style="1" customWidth="1"/>
    <col min="23" max="24" width="10" style="1" customWidth="1"/>
    <col min="25" max="25" width="5" style="1" customWidth="1"/>
    <col min="26" max="26" width="20" style="1" customWidth="1"/>
    <col min="27" max="27" width="5" style="1" customWidth="1"/>
    <col min="28" max="29" width="10" style="1" customWidth="1"/>
    <col min="30" max="30" width="5" style="1" customWidth="1"/>
    <col min="31" max="31" width="20" style="1" customWidth="1"/>
    <col min="32" max="32" width="5" style="1" customWidth="1"/>
    <col min="33" max="36" width="10" style="1" customWidth="1"/>
    <col min="37" max="16384" width="8.89090909090909" style="1"/>
  </cols>
  <sheetData>
    <row r="1" s="1" customFormat="1" ht="60" customHeight="1" spans="1:36">
      <c r="A1" s="174" t="str">
        <f>_xlfn.DISPIMG("ID_3CC9339639E34C35B185CE317598FFE5",1)</f>
        <v>=DISPIMG("ID_3CC9339639E34C35B185CE317598FFE5",1)</v>
      </c>
      <c r="B1" s="54" t="s">
        <v>226</v>
      </c>
      <c r="C1" s="54"/>
      <c r="D1" s="175" t="s">
        <v>1</v>
      </c>
      <c r="E1" s="176"/>
      <c r="F1" s="5"/>
      <c r="L1" s="109"/>
      <c r="M1" s="5"/>
      <c r="N1" s="5"/>
      <c r="O1" s="5"/>
      <c r="P1" s="5"/>
      <c r="Q1" s="109"/>
      <c r="R1" s="5"/>
      <c r="S1" s="5"/>
      <c r="T1" s="5"/>
      <c r="U1" s="5"/>
      <c r="V1" s="109"/>
      <c r="W1" s="5"/>
      <c r="X1" s="5"/>
      <c r="Y1" s="5"/>
      <c r="Z1" s="5"/>
      <c r="AA1" s="109"/>
      <c r="AB1" s="5"/>
      <c r="AC1" s="5"/>
      <c r="AD1" s="5"/>
      <c r="AE1" s="5"/>
      <c r="AF1" s="205" t="s">
        <v>227</v>
      </c>
      <c r="AG1" s="208"/>
      <c r="AH1" s="208"/>
      <c r="AI1" s="208"/>
      <c r="AJ1" s="208"/>
    </row>
    <row r="2" s="1" customFormat="1" ht="15" customHeight="1" spans="1:36">
      <c r="A2" s="58"/>
      <c r="B2" s="58"/>
      <c r="C2" s="58"/>
      <c r="D2" s="58"/>
      <c r="E2" s="58"/>
      <c r="F2" s="177"/>
      <c r="G2" s="177"/>
      <c r="H2" s="177"/>
      <c r="I2" s="177"/>
      <c r="J2" s="177"/>
      <c r="K2" s="177"/>
      <c r="L2" s="192"/>
      <c r="M2" s="192"/>
      <c r="N2" s="192"/>
      <c r="O2" s="192"/>
      <c r="P2" s="192"/>
      <c r="Q2" s="192"/>
      <c r="R2" s="192"/>
      <c r="S2" s="192"/>
      <c r="T2" s="192"/>
      <c r="U2" s="192"/>
      <c r="V2" s="192"/>
      <c r="W2" s="192"/>
      <c r="X2" s="192"/>
      <c r="Y2" s="192"/>
      <c r="Z2" s="192"/>
      <c r="AA2" s="192"/>
      <c r="AB2" s="192"/>
      <c r="AC2" s="192"/>
      <c r="AD2" s="192"/>
      <c r="AE2" s="192"/>
      <c r="AF2" s="206"/>
      <c r="AG2" s="206"/>
      <c r="AH2" s="206"/>
      <c r="AI2" s="206"/>
      <c r="AJ2" s="209"/>
    </row>
    <row r="3" s="1" customFormat="1" ht="20" customHeight="1" spans="1:36">
      <c r="A3" s="58"/>
      <c r="B3" s="58"/>
      <c r="C3" s="58"/>
      <c r="D3" s="58"/>
      <c r="E3" s="58"/>
      <c r="F3" s="178" t="s">
        <v>3</v>
      </c>
      <c r="G3" s="179" t="s">
        <v>4</v>
      </c>
      <c r="H3" s="61"/>
      <c r="I3" s="61"/>
      <c r="J3" s="61"/>
      <c r="K3" s="61"/>
      <c r="L3" s="61"/>
      <c r="M3" s="61"/>
      <c r="N3" s="61"/>
      <c r="O3" s="61"/>
      <c r="P3" s="61"/>
      <c r="Q3" s="61"/>
      <c r="R3" s="61"/>
      <c r="S3" s="61"/>
      <c r="T3" s="61"/>
      <c r="U3" s="61"/>
      <c r="V3" s="61"/>
      <c r="W3" s="61"/>
      <c r="X3" s="61"/>
      <c r="Y3" s="61"/>
      <c r="Z3" s="61"/>
      <c r="AA3" s="61"/>
      <c r="AB3" s="61"/>
      <c r="AC3" s="61"/>
      <c r="AD3" s="61"/>
      <c r="AE3" s="61"/>
      <c r="AF3" s="61" t="s">
        <v>9</v>
      </c>
      <c r="AG3" s="61"/>
      <c r="AH3" s="61"/>
      <c r="AI3" s="61"/>
      <c r="AJ3" s="115"/>
    </row>
    <row r="4" s="1" customFormat="1" ht="60" customHeight="1" spans="1:36">
      <c r="A4" s="62" t="str">
        <f>_xlfn.DISPIMG("ID_341218F06C624D8F83ED6F6C962EE287",1)</f>
        <v>=DISPIMG("ID_341218F06C624D8F83ED6F6C962EE287",1)</v>
      </c>
      <c r="B4" s="62"/>
      <c r="C4" s="63" t="s">
        <v>442</v>
      </c>
      <c r="D4" s="64"/>
      <c r="E4" s="64"/>
      <c r="F4" s="180"/>
      <c r="G4" s="181" t="s">
        <v>11</v>
      </c>
      <c r="H4" s="380"/>
      <c r="I4" s="380"/>
      <c r="J4" s="380"/>
      <c r="K4" s="380"/>
      <c r="L4" s="66" t="s">
        <v>13</v>
      </c>
      <c r="M4" s="98">
        <v>0</v>
      </c>
      <c r="N4" s="99">
        <v>0</v>
      </c>
      <c r="O4" s="66" t="s">
        <v>14</v>
      </c>
      <c r="P4" s="100"/>
      <c r="Q4" s="66" t="s">
        <v>13</v>
      </c>
      <c r="R4" s="98">
        <v>0</v>
      </c>
      <c r="S4" s="99">
        <v>0</v>
      </c>
      <c r="T4" s="66" t="s">
        <v>14</v>
      </c>
      <c r="U4" s="100"/>
      <c r="V4" s="66" t="s">
        <v>13</v>
      </c>
      <c r="W4" s="98">
        <v>0</v>
      </c>
      <c r="X4" s="99">
        <v>0</v>
      </c>
      <c r="Y4" s="66" t="s">
        <v>14</v>
      </c>
      <c r="Z4" s="100"/>
      <c r="AA4" s="66" t="s">
        <v>13</v>
      </c>
      <c r="AB4" s="98">
        <v>0</v>
      </c>
      <c r="AC4" s="99">
        <v>0</v>
      </c>
      <c r="AD4" s="66" t="s">
        <v>14</v>
      </c>
      <c r="AE4" s="100"/>
      <c r="AF4" s="66" t="s">
        <v>16</v>
      </c>
      <c r="AG4" s="388"/>
      <c r="AH4" s="388"/>
      <c r="AI4" s="388"/>
      <c r="AJ4" s="389"/>
    </row>
    <row r="5" s="1" customFormat="1" ht="60" customHeight="1" spans="1:36">
      <c r="A5" s="62"/>
      <c r="B5" s="62"/>
      <c r="C5" s="64"/>
      <c r="D5" s="64"/>
      <c r="E5" s="64"/>
      <c r="F5" s="180"/>
      <c r="G5" s="181" t="s">
        <v>18</v>
      </c>
      <c r="H5" s="381"/>
      <c r="I5" s="381"/>
      <c r="J5" s="381"/>
      <c r="K5" s="381"/>
      <c r="L5" s="66" t="s">
        <v>20</v>
      </c>
      <c r="M5" s="101">
        <v>0</v>
      </c>
      <c r="N5" s="102">
        <v>0</v>
      </c>
      <c r="O5" s="66" t="s">
        <v>21</v>
      </c>
      <c r="P5" s="100"/>
      <c r="Q5" s="66" t="s">
        <v>20</v>
      </c>
      <c r="R5" s="101">
        <v>0</v>
      </c>
      <c r="S5" s="102">
        <v>0</v>
      </c>
      <c r="T5" s="66" t="s">
        <v>21</v>
      </c>
      <c r="U5" s="100"/>
      <c r="V5" s="66" t="s">
        <v>20</v>
      </c>
      <c r="W5" s="101">
        <v>0</v>
      </c>
      <c r="X5" s="102">
        <v>0</v>
      </c>
      <c r="Y5" s="66" t="s">
        <v>21</v>
      </c>
      <c r="Z5" s="100"/>
      <c r="AA5" s="66" t="s">
        <v>20</v>
      </c>
      <c r="AB5" s="101">
        <v>0</v>
      </c>
      <c r="AC5" s="102">
        <v>0</v>
      </c>
      <c r="AD5" s="66" t="s">
        <v>21</v>
      </c>
      <c r="AE5" s="100"/>
      <c r="AF5" s="66" t="s">
        <v>24</v>
      </c>
      <c r="AG5" s="390"/>
      <c r="AH5" s="390"/>
      <c r="AI5" s="390"/>
      <c r="AJ5" s="391"/>
    </row>
    <row r="6" s="1" customFormat="1" ht="60" customHeight="1" spans="1:36">
      <c r="A6" s="69" t="s">
        <v>26</v>
      </c>
      <c r="B6" s="72" t="s">
        <v>443</v>
      </c>
      <c r="C6" s="71"/>
      <c r="D6" s="71"/>
      <c r="E6" s="71"/>
      <c r="F6" s="182"/>
      <c r="G6" s="183"/>
      <c r="H6" s="382"/>
      <c r="I6" s="382"/>
      <c r="J6" s="382"/>
      <c r="K6" s="382"/>
      <c r="L6" s="193" t="s">
        <v>28</v>
      </c>
      <c r="M6" s="229"/>
      <c r="N6" s="229"/>
      <c r="O6" s="229"/>
      <c r="P6" s="229"/>
      <c r="Q6" s="193" t="s">
        <v>28</v>
      </c>
      <c r="R6" s="248"/>
      <c r="S6" s="248"/>
      <c r="T6" s="248"/>
      <c r="U6" s="248"/>
      <c r="V6" s="193" t="s">
        <v>28</v>
      </c>
      <c r="W6" s="248"/>
      <c r="X6" s="248"/>
      <c r="Y6" s="248"/>
      <c r="Z6" s="248"/>
      <c r="AA6" s="193" t="s">
        <v>28</v>
      </c>
      <c r="AB6" s="248"/>
      <c r="AC6" s="248"/>
      <c r="AD6" s="248"/>
      <c r="AE6" s="248"/>
      <c r="AF6" s="193"/>
      <c r="AG6" s="392"/>
      <c r="AH6" s="392"/>
      <c r="AI6" s="392"/>
      <c r="AJ6" s="393"/>
    </row>
    <row r="7" s="1" customFormat="1" ht="20" customHeight="1" spans="1:36">
      <c r="A7" s="69" t="s">
        <v>33</v>
      </c>
      <c r="B7" s="72" t="s">
        <v>444</v>
      </c>
      <c r="C7" s="72"/>
      <c r="D7" s="72"/>
      <c r="E7" s="72"/>
      <c r="F7" s="180" t="s">
        <v>35</v>
      </c>
      <c r="G7" s="179" t="s">
        <v>36</v>
      </c>
      <c r="H7" s="61"/>
      <c r="I7" s="61"/>
      <c r="J7" s="61"/>
      <c r="K7" s="61"/>
      <c r="L7" s="61"/>
      <c r="M7" s="61"/>
      <c r="N7" s="61"/>
      <c r="O7" s="61"/>
      <c r="P7" s="61"/>
      <c r="Q7" s="61"/>
      <c r="R7" s="61"/>
      <c r="S7" s="61"/>
      <c r="T7" s="61"/>
      <c r="U7" s="61"/>
      <c r="V7" s="61"/>
      <c r="W7" s="61"/>
      <c r="X7" s="61"/>
      <c r="Y7" s="61"/>
      <c r="Z7" s="61"/>
      <c r="AA7" s="61"/>
      <c r="AB7" s="61"/>
      <c r="AC7" s="61"/>
      <c r="AD7" s="61"/>
      <c r="AE7" s="61"/>
      <c r="AF7" s="61" t="s">
        <v>41</v>
      </c>
      <c r="AG7" s="61"/>
      <c r="AH7" s="61"/>
      <c r="AI7" s="61"/>
      <c r="AJ7" s="115"/>
    </row>
    <row r="8" s="1" customFormat="1" ht="60" customHeight="1" spans="1:36">
      <c r="A8" s="69"/>
      <c r="B8" s="72"/>
      <c r="C8" s="72"/>
      <c r="D8" s="72"/>
      <c r="E8" s="72"/>
      <c r="F8" s="180"/>
      <c r="G8" s="181" t="s">
        <v>11</v>
      </c>
      <c r="H8" s="380"/>
      <c r="I8" s="380"/>
      <c r="J8" s="380"/>
      <c r="K8" s="380"/>
      <c r="L8" s="66" t="s">
        <v>13</v>
      </c>
      <c r="M8" s="98">
        <v>0</v>
      </c>
      <c r="N8" s="99">
        <v>0</v>
      </c>
      <c r="O8" s="66" t="s">
        <v>14</v>
      </c>
      <c r="P8" s="100"/>
      <c r="Q8" s="66" t="s">
        <v>13</v>
      </c>
      <c r="R8" s="98">
        <v>0</v>
      </c>
      <c r="S8" s="99">
        <v>0</v>
      </c>
      <c r="T8" s="66" t="s">
        <v>14</v>
      </c>
      <c r="U8" s="100"/>
      <c r="V8" s="66" t="s">
        <v>13</v>
      </c>
      <c r="W8" s="98">
        <v>0</v>
      </c>
      <c r="X8" s="99">
        <v>0</v>
      </c>
      <c r="Y8" s="66" t="s">
        <v>14</v>
      </c>
      <c r="Z8" s="100"/>
      <c r="AA8" s="66" t="s">
        <v>13</v>
      </c>
      <c r="AB8" s="98">
        <v>0</v>
      </c>
      <c r="AC8" s="99">
        <v>0</v>
      </c>
      <c r="AD8" s="66" t="s">
        <v>14</v>
      </c>
      <c r="AE8" s="100"/>
      <c r="AF8" s="66" t="s">
        <v>16</v>
      </c>
      <c r="AG8" s="388"/>
      <c r="AH8" s="388"/>
      <c r="AI8" s="388"/>
      <c r="AJ8" s="389"/>
    </row>
    <row r="9" s="1" customFormat="1" ht="60" customHeight="1" spans="1:36">
      <c r="A9" s="69"/>
      <c r="B9" s="72"/>
      <c r="C9" s="72"/>
      <c r="D9" s="72"/>
      <c r="E9" s="72"/>
      <c r="F9" s="180"/>
      <c r="G9" s="181" t="s">
        <v>18</v>
      </c>
      <c r="H9" s="381"/>
      <c r="I9" s="381"/>
      <c r="J9" s="381"/>
      <c r="K9" s="381"/>
      <c r="L9" s="66" t="s">
        <v>20</v>
      </c>
      <c r="M9" s="101">
        <v>0</v>
      </c>
      <c r="N9" s="102">
        <v>0</v>
      </c>
      <c r="O9" s="66" t="s">
        <v>21</v>
      </c>
      <c r="P9" s="100"/>
      <c r="Q9" s="66" t="s">
        <v>20</v>
      </c>
      <c r="R9" s="101">
        <v>0</v>
      </c>
      <c r="S9" s="102">
        <v>0</v>
      </c>
      <c r="T9" s="66" t="s">
        <v>21</v>
      </c>
      <c r="U9" s="100"/>
      <c r="V9" s="66" t="s">
        <v>20</v>
      </c>
      <c r="W9" s="101">
        <v>0</v>
      </c>
      <c r="X9" s="102">
        <v>0</v>
      </c>
      <c r="Y9" s="66" t="s">
        <v>21</v>
      </c>
      <c r="Z9" s="100"/>
      <c r="AA9" s="66" t="s">
        <v>20</v>
      </c>
      <c r="AB9" s="101">
        <v>0</v>
      </c>
      <c r="AC9" s="102">
        <v>0</v>
      </c>
      <c r="AD9" s="66" t="s">
        <v>21</v>
      </c>
      <c r="AE9" s="100"/>
      <c r="AF9" s="66" t="s">
        <v>24</v>
      </c>
      <c r="AG9" s="390"/>
      <c r="AH9" s="390"/>
      <c r="AI9" s="390"/>
      <c r="AJ9" s="391"/>
    </row>
    <row r="10" s="1" customFormat="1" ht="60" customHeight="1" spans="1:36">
      <c r="A10" s="69" t="s">
        <v>49</v>
      </c>
      <c r="B10" s="72" t="s">
        <v>445</v>
      </c>
      <c r="C10" s="71"/>
      <c r="D10" s="71"/>
      <c r="E10" s="71"/>
      <c r="F10" s="180"/>
      <c r="G10" s="183"/>
      <c r="H10" s="382"/>
      <c r="I10" s="382"/>
      <c r="J10" s="382"/>
      <c r="K10" s="382"/>
      <c r="L10" s="193" t="s">
        <v>28</v>
      </c>
      <c r="M10" s="248"/>
      <c r="N10" s="248"/>
      <c r="O10" s="248"/>
      <c r="P10" s="248"/>
      <c r="Q10" s="193" t="s">
        <v>28</v>
      </c>
      <c r="R10" s="248"/>
      <c r="S10" s="248"/>
      <c r="T10" s="248"/>
      <c r="U10" s="248"/>
      <c r="V10" s="193" t="s">
        <v>28</v>
      </c>
      <c r="W10" s="248"/>
      <c r="X10" s="248"/>
      <c r="Y10" s="248"/>
      <c r="Z10" s="248"/>
      <c r="AA10" s="193" t="s">
        <v>28</v>
      </c>
      <c r="AB10" s="248"/>
      <c r="AC10" s="248"/>
      <c r="AD10" s="248"/>
      <c r="AE10" s="248"/>
      <c r="AF10" s="193"/>
      <c r="AG10" s="392"/>
      <c r="AH10" s="392"/>
      <c r="AI10" s="392"/>
      <c r="AJ10" s="393"/>
    </row>
    <row r="11" s="1" customFormat="1" ht="20" customHeight="1" spans="1:36">
      <c r="A11" s="78"/>
      <c r="B11" s="78"/>
      <c r="C11" s="78"/>
      <c r="D11" s="78"/>
      <c r="E11" s="78"/>
      <c r="F11" s="186" t="s">
        <v>55</v>
      </c>
      <c r="G11" s="179" t="s">
        <v>56</v>
      </c>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t="s">
        <v>61</v>
      </c>
      <c r="AG11" s="61"/>
      <c r="AH11" s="61"/>
      <c r="AI11" s="61"/>
      <c r="AJ11" s="115"/>
    </row>
    <row r="12" s="1" customFormat="1" ht="60" customHeight="1" spans="1:36">
      <c r="A12" s="79" t="s">
        <v>62</v>
      </c>
      <c r="B12" s="80" t="str">
        <f>_xlfn.DISPIMG("ID_316A60CA24274AFB94C6E5C6072F0571",1)</f>
        <v>=DISPIMG("ID_316A60CA24274AFB94C6E5C6072F0571",1)</v>
      </c>
      <c r="C12" s="80"/>
      <c r="D12" s="80"/>
      <c r="E12" s="80"/>
      <c r="F12" s="180"/>
      <c r="G12" s="181" t="s">
        <v>11</v>
      </c>
      <c r="H12" s="286"/>
      <c r="I12" s="286"/>
      <c r="J12" s="286"/>
      <c r="K12" s="286"/>
      <c r="L12" s="66" t="s">
        <v>13</v>
      </c>
      <c r="M12" s="98">
        <v>0</v>
      </c>
      <c r="N12" s="99">
        <v>0</v>
      </c>
      <c r="O12" s="66" t="s">
        <v>14</v>
      </c>
      <c r="P12" s="100"/>
      <c r="Q12" s="66" t="s">
        <v>13</v>
      </c>
      <c r="R12" s="98">
        <v>0</v>
      </c>
      <c r="S12" s="99">
        <v>0</v>
      </c>
      <c r="T12" s="66" t="s">
        <v>14</v>
      </c>
      <c r="U12" s="100"/>
      <c r="V12" s="66" t="s">
        <v>13</v>
      </c>
      <c r="W12" s="98">
        <v>0</v>
      </c>
      <c r="X12" s="99">
        <v>0</v>
      </c>
      <c r="Y12" s="66" t="s">
        <v>14</v>
      </c>
      <c r="Z12" s="100"/>
      <c r="AA12" s="66" t="s">
        <v>13</v>
      </c>
      <c r="AB12" s="98">
        <v>0</v>
      </c>
      <c r="AC12" s="99">
        <v>0</v>
      </c>
      <c r="AD12" s="66" t="s">
        <v>14</v>
      </c>
      <c r="AE12" s="100"/>
      <c r="AF12" s="66" t="s">
        <v>16</v>
      </c>
      <c r="AG12" s="388"/>
      <c r="AH12" s="388"/>
      <c r="AI12" s="388"/>
      <c r="AJ12" s="389"/>
    </row>
    <row r="13" s="1" customFormat="1" ht="60" customHeight="1" spans="1:36">
      <c r="A13" s="82"/>
      <c r="B13" s="80"/>
      <c r="C13" s="80"/>
      <c r="D13" s="80"/>
      <c r="E13" s="80"/>
      <c r="F13" s="180"/>
      <c r="G13" s="181" t="s">
        <v>18</v>
      </c>
      <c r="H13" s="383"/>
      <c r="I13" s="383"/>
      <c r="J13" s="383"/>
      <c r="K13" s="383"/>
      <c r="L13" s="66" t="s">
        <v>20</v>
      </c>
      <c r="M13" s="101">
        <v>0</v>
      </c>
      <c r="N13" s="102">
        <v>0</v>
      </c>
      <c r="O13" s="66" t="s">
        <v>21</v>
      </c>
      <c r="P13" s="100"/>
      <c r="Q13" s="66" t="s">
        <v>20</v>
      </c>
      <c r="R13" s="101">
        <v>0</v>
      </c>
      <c r="S13" s="102">
        <v>0</v>
      </c>
      <c r="T13" s="66" t="s">
        <v>21</v>
      </c>
      <c r="U13" s="100"/>
      <c r="V13" s="66" t="s">
        <v>20</v>
      </c>
      <c r="W13" s="101">
        <v>0</v>
      </c>
      <c r="X13" s="102">
        <v>0</v>
      </c>
      <c r="Y13" s="66" t="s">
        <v>21</v>
      </c>
      <c r="Z13" s="100"/>
      <c r="AA13" s="66" t="s">
        <v>20</v>
      </c>
      <c r="AB13" s="101">
        <v>0</v>
      </c>
      <c r="AC13" s="102">
        <v>0</v>
      </c>
      <c r="AD13" s="66" t="s">
        <v>21</v>
      </c>
      <c r="AE13" s="100"/>
      <c r="AF13" s="66" t="s">
        <v>24</v>
      </c>
      <c r="AG13" s="390"/>
      <c r="AH13" s="390"/>
      <c r="AI13" s="390"/>
      <c r="AJ13" s="391"/>
    </row>
    <row r="14" s="1" customFormat="1" ht="60" customHeight="1" spans="1:36">
      <c r="A14" s="82"/>
      <c r="B14" s="80"/>
      <c r="C14" s="80"/>
      <c r="D14" s="80"/>
      <c r="E14" s="80"/>
      <c r="F14" s="182"/>
      <c r="G14" s="183"/>
      <c r="H14" s="384"/>
      <c r="I14" s="384"/>
      <c r="J14" s="384"/>
      <c r="K14" s="384"/>
      <c r="L14" s="193" t="s">
        <v>28</v>
      </c>
      <c r="M14" s="248"/>
      <c r="N14" s="248"/>
      <c r="O14" s="248"/>
      <c r="P14" s="248"/>
      <c r="Q14" s="193" t="s">
        <v>28</v>
      </c>
      <c r="R14" s="248"/>
      <c r="S14" s="248"/>
      <c r="T14" s="248"/>
      <c r="U14" s="248"/>
      <c r="V14" s="193" t="s">
        <v>28</v>
      </c>
      <c r="W14" s="248"/>
      <c r="X14" s="248"/>
      <c r="Y14" s="248"/>
      <c r="Z14" s="248"/>
      <c r="AA14" s="193" t="s">
        <v>28</v>
      </c>
      <c r="AB14" s="248"/>
      <c r="AC14" s="248"/>
      <c r="AD14" s="248"/>
      <c r="AE14" s="248"/>
      <c r="AF14" s="193"/>
      <c r="AG14" s="392"/>
      <c r="AH14" s="392"/>
      <c r="AI14" s="392"/>
      <c r="AJ14" s="393"/>
    </row>
    <row r="15" s="1" customFormat="1" ht="20" customHeight="1" spans="1:36">
      <c r="A15" s="83"/>
      <c r="B15" s="83"/>
      <c r="C15" s="83"/>
      <c r="D15" s="83"/>
      <c r="E15" s="83"/>
      <c r="F15" s="180" t="s">
        <v>77</v>
      </c>
      <c r="G15" s="179" t="s">
        <v>78</v>
      </c>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t="s">
        <v>78</v>
      </c>
      <c r="AG15" s="61"/>
      <c r="AH15" s="61"/>
      <c r="AI15" s="61"/>
      <c r="AJ15" s="115"/>
    </row>
    <row r="16" s="1" customFormat="1" ht="60" customHeight="1" spans="1:36">
      <c r="A16" s="85" t="s">
        <v>83</v>
      </c>
      <c r="B16" s="87" t="s">
        <v>446</v>
      </c>
      <c r="C16" s="87"/>
      <c r="D16" s="87"/>
      <c r="E16" s="87"/>
      <c r="F16" s="180"/>
      <c r="G16" s="181" t="s">
        <v>11</v>
      </c>
      <c r="H16" s="298"/>
      <c r="I16" s="298"/>
      <c r="J16" s="298"/>
      <c r="K16" s="298"/>
      <c r="L16" s="66" t="s">
        <v>13</v>
      </c>
      <c r="M16" s="98">
        <v>0</v>
      </c>
      <c r="N16" s="99">
        <v>0</v>
      </c>
      <c r="O16" s="66" t="s">
        <v>14</v>
      </c>
      <c r="P16" s="100"/>
      <c r="Q16" s="66" t="s">
        <v>13</v>
      </c>
      <c r="R16" s="98">
        <v>0</v>
      </c>
      <c r="S16" s="99">
        <v>0</v>
      </c>
      <c r="T16" s="66" t="s">
        <v>14</v>
      </c>
      <c r="U16" s="100"/>
      <c r="V16" s="66" t="s">
        <v>13</v>
      </c>
      <c r="W16" s="98">
        <v>0</v>
      </c>
      <c r="X16" s="99">
        <v>0</v>
      </c>
      <c r="Y16" s="66" t="s">
        <v>14</v>
      </c>
      <c r="Z16" s="100"/>
      <c r="AA16" s="66" t="s">
        <v>13</v>
      </c>
      <c r="AB16" s="98">
        <v>0</v>
      </c>
      <c r="AC16" s="99">
        <v>0</v>
      </c>
      <c r="AD16" s="66" t="s">
        <v>14</v>
      </c>
      <c r="AE16" s="100"/>
      <c r="AF16" s="66" t="s">
        <v>11</v>
      </c>
      <c r="AG16" s="388"/>
      <c r="AH16" s="388"/>
      <c r="AI16" s="388"/>
      <c r="AJ16" s="389"/>
    </row>
    <row r="17" s="1" customFormat="1" ht="60" customHeight="1" spans="1:36">
      <c r="A17" s="85" t="s">
        <v>87</v>
      </c>
      <c r="B17" s="87" t="s">
        <v>447</v>
      </c>
      <c r="C17" s="87"/>
      <c r="D17" s="87"/>
      <c r="E17" s="87"/>
      <c r="F17" s="180"/>
      <c r="G17" s="181" t="s">
        <v>18</v>
      </c>
      <c r="H17" s="385"/>
      <c r="I17" s="385"/>
      <c r="J17" s="385"/>
      <c r="K17" s="385"/>
      <c r="L17" s="66" t="s">
        <v>20</v>
      </c>
      <c r="M17" s="101">
        <v>0</v>
      </c>
      <c r="N17" s="102">
        <v>0</v>
      </c>
      <c r="O17" s="66" t="s">
        <v>21</v>
      </c>
      <c r="P17" s="100"/>
      <c r="Q17" s="66" t="s">
        <v>20</v>
      </c>
      <c r="R17" s="101">
        <v>0</v>
      </c>
      <c r="S17" s="102">
        <v>0</v>
      </c>
      <c r="T17" s="66" t="s">
        <v>21</v>
      </c>
      <c r="U17" s="100"/>
      <c r="V17" s="66" t="s">
        <v>20</v>
      </c>
      <c r="W17" s="101">
        <v>0</v>
      </c>
      <c r="X17" s="102">
        <v>0</v>
      </c>
      <c r="Y17" s="66" t="s">
        <v>21</v>
      </c>
      <c r="Z17" s="100"/>
      <c r="AA17" s="66" t="s">
        <v>20</v>
      </c>
      <c r="AB17" s="101">
        <v>0</v>
      </c>
      <c r="AC17" s="102">
        <v>0</v>
      </c>
      <c r="AD17" s="66" t="s">
        <v>21</v>
      </c>
      <c r="AE17" s="100"/>
      <c r="AF17" s="66" t="s">
        <v>18</v>
      </c>
      <c r="AG17" s="390"/>
      <c r="AH17" s="390"/>
      <c r="AI17" s="390"/>
      <c r="AJ17" s="391"/>
    </row>
    <row r="18" s="1" customFormat="1" ht="60" customHeight="1" spans="1:36">
      <c r="A18" s="90" t="s">
        <v>151</v>
      </c>
      <c r="B18" s="386" t="s">
        <v>448</v>
      </c>
      <c r="C18" s="92"/>
      <c r="D18" s="92"/>
      <c r="E18" s="92"/>
      <c r="F18" s="189"/>
      <c r="G18" s="190"/>
      <c r="H18" s="387"/>
      <c r="I18" s="387"/>
      <c r="J18" s="387"/>
      <c r="K18" s="387"/>
      <c r="L18" s="94" t="s">
        <v>28</v>
      </c>
      <c r="M18" s="374"/>
      <c r="N18" s="374"/>
      <c r="O18" s="374"/>
      <c r="P18" s="374"/>
      <c r="Q18" s="94" t="s">
        <v>28</v>
      </c>
      <c r="R18" s="249"/>
      <c r="S18" s="249"/>
      <c r="T18" s="249"/>
      <c r="U18" s="249"/>
      <c r="V18" s="94" t="s">
        <v>28</v>
      </c>
      <c r="W18" s="249"/>
      <c r="X18" s="249"/>
      <c r="Y18" s="249"/>
      <c r="Z18" s="249"/>
      <c r="AA18" s="94" t="s">
        <v>28</v>
      </c>
      <c r="AB18" s="374"/>
      <c r="AC18" s="374"/>
      <c r="AD18" s="374"/>
      <c r="AE18" s="374"/>
      <c r="AF18" s="94"/>
      <c r="AG18" s="394"/>
      <c r="AH18" s="394"/>
      <c r="AI18" s="394"/>
      <c r="AJ18" s="395"/>
    </row>
    <row r="47" spans="18:18">
      <c r="R47"/>
    </row>
  </sheetData>
  <sheetProtection selectLockedCells="1" formatCells="0" formatColumns="0" formatRows="0" insertRows="0" insertColumns="0" insertHyperlinks="0" deleteColumns="0" deleteRows="0" sort="0" autoFilter="0" pivotTables="0"/>
  <mergeCells count="86">
    <mergeCell ref="B1:C1"/>
    <mergeCell ref="D1:E1"/>
    <mergeCell ref="L1:P1"/>
    <mergeCell ref="Q1:U1"/>
    <mergeCell ref="V1:Z1"/>
    <mergeCell ref="AA1:AE1"/>
    <mergeCell ref="AF1:AJ1"/>
    <mergeCell ref="G3:K3"/>
    <mergeCell ref="L3:P3"/>
    <mergeCell ref="Q3:U3"/>
    <mergeCell ref="V3:Z3"/>
    <mergeCell ref="AA3:AE3"/>
    <mergeCell ref="AF3:AJ3"/>
    <mergeCell ref="H4:K4"/>
    <mergeCell ref="AG4:AJ4"/>
    <mergeCell ref="B6:E6"/>
    <mergeCell ref="M6:P6"/>
    <mergeCell ref="R6:U6"/>
    <mergeCell ref="W6:Z6"/>
    <mergeCell ref="AB6:AE6"/>
    <mergeCell ref="G7:K7"/>
    <mergeCell ref="L7:P7"/>
    <mergeCell ref="Q7:U7"/>
    <mergeCell ref="V7:Z7"/>
    <mergeCell ref="AA7:AE7"/>
    <mergeCell ref="AF7:AJ7"/>
    <mergeCell ref="H8:K8"/>
    <mergeCell ref="AG8:AJ8"/>
    <mergeCell ref="B10:E10"/>
    <mergeCell ref="M10:P10"/>
    <mergeCell ref="R10:U10"/>
    <mergeCell ref="W10:Z10"/>
    <mergeCell ref="AB10:AE10"/>
    <mergeCell ref="G11:K11"/>
    <mergeCell ref="L11:P11"/>
    <mergeCell ref="Q11:U11"/>
    <mergeCell ref="V11:Z11"/>
    <mergeCell ref="AA11:AE11"/>
    <mergeCell ref="AF11:AJ11"/>
    <mergeCell ref="H12:K12"/>
    <mergeCell ref="AG12:AJ12"/>
    <mergeCell ref="M14:P14"/>
    <mergeCell ref="R14:U14"/>
    <mergeCell ref="W14:Z14"/>
    <mergeCell ref="AB14:AE14"/>
    <mergeCell ref="G15:K15"/>
    <mergeCell ref="L15:P15"/>
    <mergeCell ref="Q15:U15"/>
    <mergeCell ref="V15:Z15"/>
    <mergeCell ref="AA15:AE15"/>
    <mergeCell ref="AF15:AJ15"/>
    <mergeCell ref="B16:E16"/>
    <mergeCell ref="H16:K16"/>
    <mergeCell ref="AG16:AJ16"/>
    <mergeCell ref="B17:E17"/>
    <mergeCell ref="B18:E18"/>
    <mergeCell ref="M18:P18"/>
    <mergeCell ref="R18:U18"/>
    <mergeCell ref="W18:Z18"/>
    <mergeCell ref="AB18:AE18"/>
    <mergeCell ref="A7:A9"/>
    <mergeCell ref="A12:A14"/>
    <mergeCell ref="F3:F6"/>
    <mergeCell ref="F7:F10"/>
    <mergeCell ref="F11:F14"/>
    <mergeCell ref="F15:F18"/>
    <mergeCell ref="G5:G6"/>
    <mergeCell ref="G9:G10"/>
    <mergeCell ref="G13:G14"/>
    <mergeCell ref="G17:G18"/>
    <mergeCell ref="AF5:AF6"/>
    <mergeCell ref="AF9:AF10"/>
    <mergeCell ref="AF13:AF14"/>
    <mergeCell ref="AF17:AF18"/>
    <mergeCell ref="A4:B5"/>
    <mergeCell ref="C4:E5"/>
    <mergeCell ref="H5:K6"/>
    <mergeCell ref="AG5:AJ6"/>
    <mergeCell ref="B7:E9"/>
    <mergeCell ref="H9:K10"/>
    <mergeCell ref="AG9:AJ10"/>
    <mergeCell ref="H13:K14"/>
    <mergeCell ref="AG13:AJ14"/>
    <mergeCell ref="H17:K18"/>
    <mergeCell ref="AG17:AJ18"/>
    <mergeCell ref="B12:E14"/>
  </mergeCells>
  <conditionalFormatting sqref="M4:N5 R4:S5 M8:N9 R8:S9 W4:X5 W8:X9 M12:N13 R12:S13 W12:X13 M16:N17 R16:S17 W16:X17">
    <cfRule type="cellIs" dxfId="1" priority="4" operator="equal">
      <formula>0</formula>
    </cfRule>
  </conditionalFormatting>
  <conditionalFormatting sqref="M4 R4 W4 AB4 AB8 W8 R8 M8 M12 R12 W12 AB12 M16 R16 W16 AB16">
    <cfRule type="cellIs" dxfId="0" priority="1" operator="equal">
      <formula>0</formula>
    </cfRule>
  </conditionalFormatting>
  <conditionalFormatting sqref="N4 S4 X4 AC4 AC8 X8 N8 N12 S12 S8 X12 AC12 AC16 X16 S16 N16">
    <cfRule type="cellIs" dxfId="0" priority="2" operator="equal">
      <formula>0</formula>
    </cfRule>
  </conditionalFormatting>
  <conditionalFormatting sqref="AB4:AC5 AB8:AC9 AB12:AC13 AB16:AC17">
    <cfRule type="cellIs" dxfId="1" priority="3" operator="equal">
      <formula>0</formula>
    </cfRule>
  </conditionalFormatting>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5"/>
  </sheetPr>
  <dimension ref="A1:AJ43"/>
  <sheetViews>
    <sheetView showGridLines="0" tabSelected="1" zoomScale="70" zoomScaleNormal="70" topLeftCell="F5" workbookViewId="0">
      <selection activeCell="W18" sqref="W18:Z18"/>
    </sheetView>
  </sheetViews>
  <sheetFormatPr defaultColWidth="8.89090909090909" defaultRowHeight="16.5"/>
  <cols>
    <col min="1" max="5" width="10" style="1" customWidth="1"/>
    <col min="6" max="7" width="5" style="1" customWidth="1"/>
    <col min="8" max="11" width="10" style="1" customWidth="1"/>
    <col min="12" max="12" width="5" style="1" customWidth="1"/>
    <col min="13" max="14" width="10" style="1" customWidth="1"/>
    <col min="15" max="15" width="5" style="1" customWidth="1"/>
    <col min="16" max="16" width="20.3909090909091" style="1" customWidth="1"/>
    <col min="17" max="17" width="5" style="1" customWidth="1"/>
    <col min="18" max="19" width="10" style="1" customWidth="1"/>
    <col min="20" max="20" width="5" style="1" customWidth="1"/>
    <col min="21" max="21" width="20" style="1" customWidth="1"/>
    <col min="22" max="22" width="5" style="1" customWidth="1"/>
    <col min="23" max="24" width="10" style="1" customWidth="1"/>
    <col min="25" max="25" width="5" style="1" customWidth="1"/>
    <col min="26" max="26" width="20" style="1" customWidth="1"/>
    <col min="27" max="27" width="5" style="1" customWidth="1"/>
    <col min="28" max="29" width="10" style="1" customWidth="1"/>
    <col min="30" max="30" width="5" style="1" customWidth="1"/>
    <col min="31" max="31" width="20" style="1" customWidth="1"/>
    <col min="32" max="32" width="5" style="1" customWidth="1"/>
    <col min="33" max="36" width="10" style="1" customWidth="1"/>
    <col min="37" max="16384" width="8.89090909090909" style="1"/>
  </cols>
  <sheetData>
    <row r="1" s="1" customFormat="1" ht="60" customHeight="1" spans="1:36">
      <c r="A1" s="351" t="str">
        <f>_xlfn.DISPIMG("ID_B8866FF8443B4D5096579B7AE4F8D3EB",1)</f>
        <v>=DISPIMG("ID_B8866FF8443B4D5096579B7AE4F8D3EB",1)</v>
      </c>
      <c r="B1" s="352" t="s">
        <v>345</v>
      </c>
      <c r="C1" s="352"/>
      <c r="D1" s="353" t="s">
        <v>346</v>
      </c>
      <c r="E1" s="354"/>
      <c r="F1" s="355"/>
      <c r="G1" s="356"/>
      <c r="H1" s="356"/>
      <c r="I1" s="356"/>
      <c r="J1" s="356"/>
      <c r="K1" s="356"/>
      <c r="L1" s="355"/>
      <c r="M1" s="355"/>
      <c r="N1" s="355"/>
      <c r="O1" s="355"/>
      <c r="P1" s="355"/>
      <c r="Q1" s="355"/>
      <c r="R1" s="355"/>
      <c r="S1" s="355"/>
      <c r="T1" s="355"/>
      <c r="U1" s="355"/>
      <c r="V1" s="355"/>
      <c r="W1" s="355"/>
      <c r="X1" s="355"/>
      <c r="Y1" s="355"/>
      <c r="Z1" s="355"/>
      <c r="AA1" s="355" t="s">
        <v>449</v>
      </c>
      <c r="AB1" s="355"/>
      <c r="AC1" s="355"/>
      <c r="AD1" s="355"/>
      <c r="AE1" s="355"/>
      <c r="AF1" s="375" t="s">
        <v>227</v>
      </c>
      <c r="AG1" s="375"/>
      <c r="AH1" s="375"/>
      <c r="AI1" s="375"/>
      <c r="AJ1" s="376"/>
    </row>
    <row r="2" s="1" customFormat="1" ht="15" customHeight="1" spans="1:36">
      <c r="A2" s="357"/>
      <c r="B2" s="58"/>
      <c r="C2" s="58"/>
      <c r="D2" s="58"/>
      <c r="E2" s="58"/>
      <c r="F2" s="177"/>
      <c r="G2" s="177"/>
      <c r="H2" s="177"/>
      <c r="I2" s="177"/>
      <c r="J2" s="177"/>
      <c r="K2" s="177"/>
      <c r="L2" s="192"/>
      <c r="M2" s="192"/>
      <c r="N2" s="192"/>
      <c r="O2" s="192"/>
      <c r="P2" s="192"/>
      <c r="Q2" s="192"/>
      <c r="R2" s="192"/>
      <c r="S2" s="192"/>
      <c r="T2" s="192"/>
      <c r="U2" s="192"/>
      <c r="V2" s="192"/>
      <c r="W2" s="192"/>
      <c r="X2" s="192"/>
      <c r="Y2" s="192"/>
      <c r="Z2" s="192"/>
      <c r="AA2" s="192"/>
      <c r="AB2" s="192"/>
      <c r="AC2" s="192"/>
      <c r="AD2" s="192"/>
      <c r="AE2" s="192"/>
      <c r="AF2" s="206"/>
      <c r="AG2" s="206"/>
      <c r="AH2" s="206"/>
      <c r="AI2" s="206"/>
      <c r="AJ2" s="377"/>
    </row>
    <row r="3" s="1" customFormat="1" ht="20" customHeight="1" spans="1:36">
      <c r="A3" s="357"/>
      <c r="B3" s="58"/>
      <c r="C3" s="58"/>
      <c r="D3" s="58"/>
      <c r="E3" s="58"/>
      <c r="F3" s="178" t="s">
        <v>3</v>
      </c>
      <c r="G3" s="179" t="s">
        <v>4</v>
      </c>
      <c r="H3" s="61"/>
      <c r="I3" s="61"/>
      <c r="J3" s="61"/>
      <c r="K3" s="61"/>
      <c r="L3" s="106" t="s">
        <v>450</v>
      </c>
      <c r="M3" s="61"/>
      <c r="N3" s="61"/>
      <c r="O3" s="61"/>
      <c r="P3" s="61"/>
      <c r="Q3" s="106" t="s">
        <v>451</v>
      </c>
      <c r="R3" s="61"/>
      <c r="S3" s="61"/>
      <c r="T3" s="61"/>
      <c r="U3" s="61"/>
      <c r="V3" s="106" t="s">
        <v>452</v>
      </c>
      <c r="W3" s="61"/>
      <c r="X3" s="61"/>
      <c r="Y3" s="61"/>
      <c r="Z3" s="61"/>
      <c r="AA3" s="106" t="s">
        <v>453</v>
      </c>
      <c r="AB3" s="61"/>
      <c r="AC3" s="61"/>
      <c r="AD3" s="61"/>
      <c r="AE3" s="61"/>
      <c r="AF3" s="61" t="s">
        <v>9</v>
      </c>
      <c r="AG3" s="61"/>
      <c r="AH3" s="61"/>
      <c r="AI3" s="61"/>
      <c r="AJ3" s="115"/>
    </row>
    <row r="4" s="1" customFormat="1" ht="60" customHeight="1" spans="1:36">
      <c r="A4" s="358" t="str">
        <f>_xlfn.DISPIMG("ID_EB6D268D336E4363856A5186ED0E6D6D",1)</f>
        <v>=DISPIMG("ID_EB6D268D336E4363856A5186ED0E6D6D",1)</v>
      </c>
      <c r="B4" s="62"/>
      <c r="C4" s="63" t="s">
        <v>454</v>
      </c>
      <c r="D4" s="64"/>
      <c r="E4" s="64"/>
      <c r="F4" s="180"/>
      <c r="G4" s="181" t="s">
        <v>11</v>
      </c>
      <c r="H4" s="74" t="s">
        <v>455</v>
      </c>
      <c r="I4" s="74"/>
      <c r="J4" s="74"/>
      <c r="K4" s="74"/>
      <c r="L4" s="66" t="s">
        <v>13</v>
      </c>
      <c r="M4" s="98">
        <v>0</v>
      </c>
      <c r="N4" s="99">
        <v>0</v>
      </c>
      <c r="O4" s="66" t="s">
        <v>14</v>
      </c>
      <c r="P4" s="100" t="s">
        <v>44</v>
      </c>
      <c r="Q4" s="66" t="s">
        <v>13</v>
      </c>
      <c r="R4" s="98">
        <v>0</v>
      </c>
      <c r="S4" s="99">
        <v>1</v>
      </c>
      <c r="T4" s="66" t="s">
        <v>14</v>
      </c>
      <c r="U4" s="100" t="s">
        <v>44</v>
      </c>
      <c r="V4" s="66" t="s">
        <v>13</v>
      </c>
      <c r="W4" s="98">
        <v>0</v>
      </c>
      <c r="X4" s="99">
        <v>0</v>
      </c>
      <c r="Y4" s="66" t="s">
        <v>14</v>
      </c>
      <c r="Z4" s="100" t="s">
        <v>44</v>
      </c>
      <c r="AA4" s="66" t="s">
        <v>13</v>
      </c>
      <c r="AB4" s="98">
        <v>1</v>
      </c>
      <c r="AC4" s="99">
        <v>0</v>
      </c>
      <c r="AD4" s="66" t="s">
        <v>14</v>
      </c>
      <c r="AE4" s="100" t="str">
        <f>_xlfn.DISPIMG("ID_DA242BD9C971478B8F83339E81F6373C",1)</f>
        <v>=DISPIMG("ID_DA242BD9C971478B8F83339E81F6373C",1)</v>
      </c>
      <c r="AF4" s="66" t="s">
        <v>16</v>
      </c>
      <c r="AG4" s="159" t="s">
        <v>456</v>
      </c>
      <c r="AH4" s="159"/>
      <c r="AI4" s="159"/>
      <c r="AJ4" s="160"/>
    </row>
    <row r="5" s="1" customFormat="1" ht="60" customHeight="1" spans="1:36">
      <c r="A5" s="358"/>
      <c r="B5" s="62"/>
      <c r="C5" s="64"/>
      <c r="D5" s="64"/>
      <c r="E5" s="64"/>
      <c r="F5" s="180"/>
      <c r="G5" s="181" t="s">
        <v>18</v>
      </c>
      <c r="H5" s="127" t="s">
        <v>457</v>
      </c>
      <c r="I5" s="127"/>
      <c r="J5" s="127"/>
      <c r="K5" s="127"/>
      <c r="L5" s="66" t="s">
        <v>20</v>
      </c>
      <c r="M5" s="101">
        <v>1</v>
      </c>
      <c r="N5" s="102">
        <v>0</v>
      </c>
      <c r="O5" s="66" t="s">
        <v>21</v>
      </c>
      <c r="P5" s="100" t="s">
        <v>458</v>
      </c>
      <c r="Q5" s="66" t="s">
        <v>20</v>
      </c>
      <c r="R5" s="101">
        <v>0</v>
      </c>
      <c r="S5" s="102">
        <v>0</v>
      </c>
      <c r="T5" s="66" t="s">
        <v>21</v>
      </c>
      <c r="U5" s="100" t="s">
        <v>22</v>
      </c>
      <c r="V5" s="66" t="s">
        <v>20</v>
      </c>
      <c r="W5" s="101">
        <v>3</v>
      </c>
      <c r="X5" s="102">
        <v>0</v>
      </c>
      <c r="Y5" s="66" t="s">
        <v>21</v>
      </c>
      <c r="Z5" s="100" t="s">
        <v>458</v>
      </c>
      <c r="AA5" s="66" t="s">
        <v>20</v>
      </c>
      <c r="AB5" s="101">
        <v>3</v>
      </c>
      <c r="AC5" s="102">
        <v>0</v>
      </c>
      <c r="AD5" s="66" t="s">
        <v>21</v>
      </c>
      <c r="AE5" s="100" t="s">
        <v>23</v>
      </c>
      <c r="AF5" s="66" t="s">
        <v>24</v>
      </c>
      <c r="AG5" s="215" t="s">
        <v>459</v>
      </c>
      <c r="AH5" s="215"/>
      <c r="AI5" s="215"/>
      <c r="AJ5" s="216"/>
    </row>
    <row r="6" s="1" customFormat="1" ht="60" customHeight="1" spans="1:36">
      <c r="A6" s="359" t="s">
        <v>26</v>
      </c>
      <c r="B6" s="70" t="s">
        <v>460</v>
      </c>
      <c r="C6" s="71"/>
      <c r="D6" s="71"/>
      <c r="E6" s="71"/>
      <c r="F6" s="182"/>
      <c r="G6" s="183"/>
      <c r="H6" s="184"/>
      <c r="I6" s="184"/>
      <c r="J6" s="184"/>
      <c r="K6" s="184"/>
      <c r="L6" s="193" t="s">
        <v>28</v>
      </c>
      <c r="M6" s="194" t="s">
        <v>461</v>
      </c>
      <c r="N6" s="194"/>
      <c r="O6" s="194"/>
      <c r="P6" s="194"/>
      <c r="Q6" s="193" t="s">
        <v>28</v>
      </c>
      <c r="R6" s="199" t="s">
        <v>462</v>
      </c>
      <c r="S6" s="248"/>
      <c r="T6" s="248"/>
      <c r="U6" s="248"/>
      <c r="V6" s="193" t="s">
        <v>28</v>
      </c>
      <c r="W6" s="194" t="s">
        <v>463</v>
      </c>
      <c r="X6" s="248"/>
      <c r="Y6" s="248"/>
      <c r="Z6" s="248"/>
      <c r="AA6" s="193" t="s">
        <v>28</v>
      </c>
      <c r="AB6" s="194" t="s">
        <v>464</v>
      </c>
      <c r="AC6" s="194"/>
      <c r="AD6" s="194"/>
      <c r="AE6" s="194"/>
      <c r="AF6" s="193"/>
      <c r="AG6" s="378"/>
      <c r="AH6" s="378"/>
      <c r="AI6" s="378"/>
      <c r="AJ6" s="379"/>
    </row>
    <row r="7" s="1" customFormat="1" ht="20" customHeight="1" spans="1:36">
      <c r="A7" s="359" t="s">
        <v>33</v>
      </c>
      <c r="B7" s="72" t="s">
        <v>465</v>
      </c>
      <c r="C7" s="72"/>
      <c r="D7" s="72"/>
      <c r="E7" s="72"/>
      <c r="F7" s="180" t="s">
        <v>35</v>
      </c>
      <c r="G7" s="179" t="s">
        <v>36</v>
      </c>
      <c r="H7" s="61"/>
      <c r="I7" s="61"/>
      <c r="J7" s="61"/>
      <c r="K7" s="61"/>
      <c r="L7" s="106" t="s">
        <v>353</v>
      </c>
      <c r="M7" s="61"/>
      <c r="N7" s="61"/>
      <c r="O7" s="61"/>
      <c r="P7" s="61"/>
      <c r="Q7" s="106" t="s">
        <v>466</v>
      </c>
      <c r="R7" s="61"/>
      <c r="S7" s="61"/>
      <c r="T7" s="61"/>
      <c r="U7" s="61"/>
      <c r="V7" s="106" t="s">
        <v>467</v>
      </c>
      <c r="W7" s="61"/>
      <c r="X7" s="61"/>
      <c r="Y7" s="61"/>
      <c r="Z7" s="61"/>
      <c r="AA7" s="106" t="s">
        <v>468</v>
      </c>
      <c r="AB7" s="61"/>
      <c r="AC7" s="61"/>
      <c r="AD7" s="61"/>
      <c r="AE7" s="61"/>
      <c r="AF7" s="61" t="s">
        <v>41</v>
      </c>
      <c r="AG7" s="61"/>
      <c r="AH7" s="61"/>
      <c r="AI7" s="61"/>
      <c r="AJ7" s="115"/>
    </row>
    <row r="8" s="1" customFormat="1" ht="60" customHeight="1" spans="1:36">
      <c r="A8" s="359"/>
      <c r="B8" s="72"/>
      <c r="C8" s="72"/>
      <c r="D8" s="72"/>
      <c r="E8" s="72"/>
      <c r="F8" s="180"/>
      <c r="G8" s="181" t="s">
        <v>11</v>
      </c>
      <c r="H8" s="74" t="s">
        <v>469</v>
      </c>
      <c r="I8" s="74"/>
      <c r="J8" s="74"/>
      <c r="K8" s="74"/>
      <c r="L8" s="66" t="s">
        <v>13</v>
      </c>
      <c r="M8" s="98">
        <v>0</v>
      </c>
      <c r="N8" s="99">
        <v>1</v>
      </c>
      <c r="O8" s="66" t="s">
        <v>14</v>
      </c>
      <c r="P8" s="100" t="s">
        <v>45</v>
      </c>
      <c r="Q8" s="66" t="s">
        <v>13</v>
      </c>
      <c r="R8" s="98">
        <v>1</v>
      </c>
      <c r="S8" s="99">
        <v>0</v>
      </c>
      <c r="T8" s="66" t="s">
        <v>14</v>
      </c>
      <c r="U8" s="100" t="s">
        <v>44</v>
      </c>
      <c r="V8" s="66" t="s">
        <v>13</v>
      </c>
      <c r="W8" s="98">
        <v>0</v>
      </c>
      <c r="X8" s="99">
        <v>0</v>
      </c>
      <c r="Y8" s="66" t="s">
        <v>14</v>
      </c>
      <c r="Z8" s="100" t="s">
        <v>45</v>
      </c>
      <c r="AA8" s="66" t="s">
        <v>13</v>
      </c>
      <c r="AB8" s="98">
        <v>1</v>
      </c>
      <c r="AC8" s="99">
        <v>0</v>
      </c>
      <c r="AD8" s="66" t="s">
        <v>14</v>
      </c>
      <c r="AE8" s="100" t="str">
        <f>_xlfn.DISPIMG("ID_93AF71A716EA400F9D70DA11FAEEA65B",1)</f>
        <v>=DISPIMG("ID_93AF71A716EA400F9D70DA11FAEEA65B",1)</v>
      </c>
      <c r="AF8" s="66" t="s">
        <v>16</v>
      </c>
      <c r="AG8" s="88" t="s">
        <v>470</v>
      </c>
      <c r="AH8" s="88"/>
      <c r="AI8" s="88"/>
      <c r="AJ8" s="210"/>
    </row>
    <row r="9" s="1" customFormat="1" ht="60" customHeight="1" spans="1:36">
      <c r="A9" s="359"/>
      <c r="B9" s="72"/>
      <c r="C9" s="72"/>
      <c r="D9" s="72"/>
      <c r="E9" s="72"/>
      <c r="F9" s="180"/>
      <c r="G9" s="181" t="s">
        <v>18</v>
      </c>
      <c r="H9" s="127" t="s">
        <v>471</v>
      </c>
      <c r="I9" s="68"/>
      <c r="J9" s="68"/>
      <c r="K9" s="68"/>
      <c r="L9" s="66" t="s">
        <v>20</v>
      </c>
      <c r="M9" s="101">
        <v>0</v>
      </c>
      <c r="N9" s="102">
        <v>1</v>
      </c>
      <c r="O9" s="66" t="s">
        <v>21</v>
      </c>
      <c r="P9" s="100" t="s">
        <v>45</v>
      </c>
      <c r="Q9" s="66" t="s">
        <v>20</v>
      </c>
      <c r="R9" s="101">
        <v>2</v>
      </c>
      <c r="S9" s="102">
        <v>0</v>
      </c>
      <c r="T9" s="66" t="s">
        <v>21</v>
      </c>
      <c r="U9" s="100" t="s">
        <v>22</v>
      </c>
      <c r="V9" s="66" t="s">
        <v>20</v>
      </c>
      <c r="W9" s="101">
        <v>1</v>
      </c>
      <c r="X9" s="102">
        <v>0</v>
      </c>
      <c r="Y9" s="66" t="s">
        <v>21</v>
      </c>
      <c r="Z9" s="100" t="s">
        <v>45</v>
      </c>
      <c r="AA9" s="66" t="s">
        <v>20</v>
      </c>
      <c r="AB9" s="101">
        <v>4</v>
      </c>
      <c r="AC9" s="102">
        <v>1</v>
      </c>
      <c r="AD9" s="66" t="s">
        <v>21</v>
      </c>
      <c r="AE9" s="100" t="s">
        <v>23</v>
      </c>
      <c r="AF9" s="66" t="s">
        <v>24</v>
      </c>
      <c r="AG9" s="89" t="s">
        <v>472</v>
      </c>
      <c r="AH9" s="89"/>
      <c r="AI9" s="89"/>
      <c r="AJ9" s="211"/>
    </row>
    <row r="10" s="1" customFormat="1" ht="60" customHeight="1" spans="1:36">
      <c r="A10" s="359" t="s">
        <v>49</v>
      </c>
      <c r="B10" s="70" t="s">
        <v>473</v>
      </c>
      <c r="C10" s="71"/>
      <c r="D10" s="71"/>
      <c r="E10" s="71"/>
      <c r="F10" s="180"/>
      <c r="G10" s="183"/>
      <c r="H10" s="185"/>
      <c r="I10" s="185"/>
      <c r="J10" s="185"/>
      <c r="K10" s="185"/>
      <c r="L10" s="193" t="s">
        <v>28</v>
      </c>
      <c r="M10" s="199" t="s">
        <v>474</v>
      </c>
      <c r="N10" s="199"/>
      <c r="O10" s="199"/>
      <c r="P10" s="199"/>
      <c r="Q10" s="193" t="s">
        <v>28</v>
      </c>
      <c r="R10" s="263" t="s">
        <v>475</v>
      </c>
      <c r="S10" s="248"/>
      <c r="T10" s="248"/>
      <c r="U10" s="248"/>
      <c r="V10" s="193" t="s">
        <v>28</v>
      </c>
      <c r="W10" s="291" t="s">
        <v>476</v>
      </c>
      <c r="X10" s="248"/>
      <c r="Y10" s="248"/>
      <c r="Z10" s="248"/>
      <c r="AA10" s="193" t="s">
        <v>28</v>
      </c>
      <c r="AB10" s="194" t="s">
        <v>477</v>
      </c>
      <c r="AC10" s="194"/>
      <c r="AD10" s="194"/>
      <c r="AE10" s="194"/>
      <c r="AF10" s="193"/>
      <c r="AG10" s="95"/>
      <c r="AH10" s="95"/>
      <c r="AI10" s="95"/>
      <c r="AJ10" s="219"/>
    </row>
    <row r="11" s="1" customFormat="1" ht="20" customHeight="1" spans="1:36">
      <c r="A11" s="360"/>
      <c r="B11" s="78"/>
      <c r="C11" s="78"/>
      <c r="D11" s="78"/>
      <c r="E11" s="78"/>
      <c r="F11" s="186" t="s">
        <v>55</v>
      </c>
      <c r="G11" s="179" t="s">
        <v>56</v>
      </c>
      <c r="H11" s="61"/>
      <c r="I11" s="61"/>
      <c r="J11" s="61"/>
      <c r="K11" s="61"/>
      <c r="L11" s="106" t="s">
        <v>478</v>
      </c>
      <c r="M11" s="61"/>
      <c r="N11" s="61"/>
      <c r="O11" s="61"/>
      <c r="P11" s="61"/>
      <c r="Q11" s="106" t="s">
        <v>479</v>
      </c>
      <c r="R11" s="61"/>
      <c r="S11" s="61"/>
      <c r="T11" s="61"/>
      <c r="U11" s="61"/>
      <c r="V11" s="106" t="s">
        <v>118</v>
      </c>
      <c r="W11" s="61"/>
      <c r="X11" s="61"/>
      <c r="Y11" s="61"/>
      <c r="Z11" s="61"/>
      <c r="AA11" s="106" t="s">
        <v>480</v>
      </c>
      <c r="AB11" s="61"/>
      <c r="AC11" s="61"/>
      <c r="AD11" s="61"/>
      <c r="AE11" s="61"/>
      <c r="AF11" s="61" t="s">
        <v>61</v>
      </c>
      <c r="AG11" s="61"/>
      <c r="AH11" s="61"/>
      <c r="AI11" s="61"/>
      <c r="AJ11" s="115"/>
    </row>
    <row r="12" s="1" customFormat="1" ht="60" customHeight="1" spans="1:36">
      <c r="A12" s="361" t="s">
        <v>62</v>
      </c>
      <c r="B12" s="80" t="str">
        <f>_xlfn.DISPIMG("ID_7588C7A3A9CA4753A0743D9829A54C97",1)</f>
        <v>=DISPIMG("ID_7588C7A3A9CA4753A0743D9829A54C97",1)</v>
      </c>
      <c r="C12" s="80"/>
      <c r="D12" s="80"/>
      <c r="E12" s="80"/>
      <c r="F12" s="180"/>
      <c r="G12" s="181" t="s">
        <v>11</v>
      </c>
      <c r="H12" s="362" t="s">
        <v>481</v>
      </c>
      <c r="I12" s="362"/>
      <c r="J12" s="362"/>
      <c r="K12" s="362"/>
      <c r="L12" s="66" t="s">
        <v>13</v>
      </c>
      <c r="M12" s="98">
        <v>1</v>
      </c>
      <c r="N12" s="99">
        <v>0</v>
      </c>
      <c r="O12" s="66" t="s">
        <v>14</v>
      </c>
      <c r="P12" s="100" t="str">
        <f>_xlfn.DISPIMG("ID_A4A95ADCA26B463DB67D8D72B0A9DA21",1)</f>
        <v>=DISPIMG("ID_A4A95ADCA26B463DB67D8D72B0A9DA21",1)</v>
      </c>
      <c r="Q12" s="66" t="s">
        <v>13</v>
      </c>
      <c r="R12" s="98">
        <v>0</v>
      </c>
      <c r="S12" s="99">
        <v>1</v>
      </c>
      <c r="T12" s="66" t="s">
        <v>14</v>
      </c>
      <c r="U12" s="100" t="s">
        <v>14</v>
      </c>
      <c r="V12" s="66" t="s">
        <v>13</v>
      </c>
      <c r="W12" s="98">
        <v>1</v>
      </c>
      <c r="X12" s="99">
        <v>0</v>
      </c>
      <c r="Y12" s="66" t="s">
        <v>14</v>
      </c>
      <c r="Z12" s="100" t="s">
        <v>45</v>
      </c>
      <c r="AA12" s="66" t="s">
        <v>13</v>
      </c>
      <c r="AB12" s="98">
        <v>1</v>
      </c>
      <c r="AC12" s="99">
        <v>0</v>
      </c>
      <c r="AD12" s="66" t="s">
        <v>14</v>
      </c>
      <c r="AE12" s="100" t="str">
        <f>_xlfn.DISPIMG("ID_2233DE8728B74C83B8B630940C573489",1)</f>
        <v>=DISPIMG("ID_2233DE8728B74C83B8B630940C573489",1)</v>
      </c>
      <c r="AF12" s="66" t="s">
        <v>16</v>
      </c>
      <c r="AG12" s="88" t="s">
        <v>482</v>
      </c>
      <c r="AH12" s="88"/>
      <c r="AI12" s="88"/>
      <c r="AJ12" s="210"/>
    </row>
    <row r="13" s="1" customFormat="1" ht="60" customHeight="1" spans="1:36">
      <c r="A13" s="363"/>
      <c r="B13" s="80"/>
      <c r="C13" s="80"/>
      <c r="D13" s="80"/>
      <c r="E13" s="80"/>
      <c r="F13" s="180"/>
      <c r="G13" s="181" t="s">
        <v>18</v>
      </c>
      <c r="H13" s="364" t="s">
        <v>483</v>
      </c>
      <c r="I13" s="364"/>
      <c r="J13" s="364"/>
      <c r="K13" s="364"/>
      <c r="L13" s="66" t="s">
        <v>20</v>
      </c>
      <c r="M13" s="101">
        <v>5</v>
      </c>
      <c r="N13" s="102">
        <v>0</v>
      </c>
      <c r="O13" s="66" t="s">
        <v>21</v>
      </c>
      <c r="P13" s="100" t="s">
        <v>23</v>
      </c>
      <c r="Q13" s="66" t="s">
        <v>20</v>
      </c>
      <c r="R13" s="101">
        <v>1</v>
      </c>
      <c r="S13" s="102">
        <v>0</v>
      </c>
      <c r="T13" s="66" t="s">
        <v>21</v>
      </c>
      <c r="U13" s="100" t="s">
        <v>22</v>
      </c>
      <c r="V13" s="66" t="s">
        <v>20</v>
      </c>
      <c r="W13" s="101">
        <v>4</v>
      </c>
      <c r="X13" s="102">
        <v>0</v>
      </c>
      <c r="Y13" s="66" t="s">
        <v>21</v>
      </c>
      <c r="Z13" s="100" t="s">
        <v>45</v>
      </c>
      <c r="AA13" s="66" t="s">
        <v>20</v>
      </c>
      <c r="AB13" s="101">
        <v>10</v>
      </c>
      <c r="AC13" s="102">
        <v>1</v>
      </c>
      <c r="AD13" s="66" t="s">
        <v>21</v>
      </c>
      <c r="AE13" s="100" t="s">
        <v>23</v>
      </c>
      <c r="AF13" s="66" t="s">
        <v>24</v>
      </c>
      <c r="AG13" s="89" t="s">
        <v>484</v>
      </c>
      <c r="AH13" s="215"/>
      <c r="AI13" s="215"/>
      <c r="AJ13" s="216"/>
    </row>
    <row r="14" s="1" customFormat="1" ht="60" customHeight="1" spans="1:36">
      <c r="A14" s="363"/>
      <c r="B14" s="80"/>
      <c r="C14" s="80"/>
      <c r="D14" s="80"/>
      <c r="E14" s="80"/>
      <c r="F14" s="182"/>
      <c r="G14" s="183"/>
      <c r="H14" s="365"/>
      <c r="I14" s="365"/>
      <c r="J14" s="365"/>
      <c r="K14" s="365"/>
      <c r="L14" s="193" t="s">
        <v>28</v>
      </c>
      <c r="M14" s="194" t="s">
        <v>485</v>
      </c>
      <c r="N14" s="194"/>
      <c r="O14" s="194"/>
      <c r="P14" s="194"/>
      <c r="Q14" s="193" t="s">
        <v>28</v>
      </c>
      <c r="R14" s="195" t="s">
        <v>486</v>
      </c>
      <c r="S14" s="229"/>
      <c r="T14" s="229"/>
      <c r="U14" s="229"/>
      <c r="V14" s="193" t="s">
        <v>28</v>
      </c>
      <c r="W14" s="199" t="s">
        <v>487</v>
      </c>
      <c r="X14" s="199"/>
      <c r="Y14" s="199"/>
      <c r="Z14" s="199"/>
      <c r="AA14" s="193" t="s">
        <v>28</v>
      </c>
      <c r="AB14" s="195" t="s">
        <v>488</v>
      </c>
      <c r="AC14" s="195"/>
      <c r="AD14" s="195"/>
      <c r="AE14" s="195"/>
      <c r="AF14" s="193"/>
      <c r="AG14" s="217"/>
      <c r="AH14" s="217"/>
      <c r="AI14" s="217"/>
      <c r="AJ14" s="218"/>
    </row>
    <row r="15" s="1" customFormat="1" ht="20" customHeight="1" spans="1:36">
      <c r="A15" s="366"/>
      <c r="B15" s="83"/>
      <c r="C15" s="83"/>
      <c r="D15" s="83"/>
      <c r="E15" s="83"/>
      <c r="F15" s="180" t="s">
        <v>77</v>
      </c>
      <c r="G15" s="179" t="s">
        <v>78</v>
      </c>
      <c r="H15" s="61"/>
      <c r="I15" s="61"/>
      <c r="J15" s="61"/>
      <c r="K15" s="61"/>
      <c r="L15" s="106" t="s">
        <v>489</v>
      </c>
      <c r="M15" s="61"/>
      <c r="N15" s="61"/>
      <c r="O15" s="61"/>
      <c r="P15" s="61"/>
      <c r="Q15" s="106" t="s">
        <v>490</v>
      </c>
      <c r="R15" s="61"/>
      <c r="S15" s="61"/>
      <c r="T15" s="61"/>
      <c r="U15" s="61"/>
      <c r="V15" s="106" t="s">
        <v>491</v>
      </c>
      <c r="W15" s="61"/>
      <c r="X15" s="61"/>
      <c r="Y15" s="61"/>
      <c r="Z15" s="61"/>
      <c r="AA15" s="106" t="s">
        <v>492</v>
      </c>
      <c r="AB15" s="61"/>
      <c r="AC15" s="61"/>
      <c r="AD15" s="61"/>
      <c r="AE15" s="61"/>
      <c r="AF15" s="61" t="s">
        <v>78</v>
      </c>
      <c r="AG15" s="61"/>
      <c r="AH15" s="61"/>
      <c r="AI15" s="61"/>
      <c r="AJ15" s="115"/>
    </row>
    <row r="16" s="1" customFormat="1" ht="60" customHeight="1" spans="1:36">
      <c r="A16" s="367" t="s">
        <v>83</v>
      </c>
      <c r="B16" s="86" t="s">
        <v>84</v>
      </c>
      <c r="C16" s="87"/>
      <c r="D16" s="87"/>
      <c r="E16" s="87"/>
      <c r="F16" s="180"/>
      <c r="G16" s="181" t="s">
        <v>11</v>
      </c>
      <c r="H16" s="298" t="s">
        <v>493</v>
      </c>
      <c r="I16" s="298"/>
      <c r="J16" s="298"/>
      <c r="K16" s="298"/>
      <c r="L16" s="66" t="s">
        <v>13</v>
      </c>
      <c r="M16" s="98">
        <v>1</v>
      </c>
      <c r="N16" s="99">
        <v>0</v>
      </c>
      <c r="O16" s="66" t="s">
        <v>14</v>
      </c>
      <c r="P16" s="100" t="str">
        <f>_xlfn.DISPIMG("ID_9704A92A30C84B729835535B92E2A4EB",1)</f>
        <v>=DISPIMG("ID_9704A92A30C84B729835535B92E2A4EB",1)</v>
      </c>
      <c r="Q16" s="66" t="s">
        <v>13</v>
      </c>
      <c r="R16" s="98">
        <v>1</v>
      </c>
      <c r="S16" s="99">
        <v>0</v>
      </c>
      <c r="T16" s="66" t="s">
        <v>14</v>
      </c>
      <c r="U16" s="100" t="s">
        <v>44</v>
      </c>
      <c r="V16" s="66" t="s">
        <v>13</v>
      </c>
      <c r="W16" s="98">
        <v>1</v>
      </c>
      <c r="X16" s="99">
        <v>0</v>
      </c>
      <c r="Y16" s="66" t="s">
        <v>14</v>
      </c>
      <c r="Z16" s="100" t="str">
        <f>_xlfn.DISPIMG("ID_284C1B149DE94A93989C2281C5FA45FD",1)</f>
        <v>=DISPIMG("ID_284C1B149DE94A93989C2281C5FA45FD",1)</v>
      </c>
      <c r="AA16" s="66" t="s">
        <v>13</v>
      </c>
      <c r="AB16" s="98">
        <v>1</v>
      </c>
      <c r="AC16" s="99">
        <v>0</v>
      </c>
      <c r="AD16" s="66" t="s">
        <v>14</v>
      </c>
      <c r="AE16" s="100" t="str">
        <f>_xlfn.DISPIMG("ID_2233DE8728B74C83B8B630940C573489",1)</f>
        <v>=DISPIMG("ID_2233DE8728B74C83B8B630940C573489",1)</v>
      </c>
      <c r="AF16" s="66" t="s">
        <v>11</v>
      </c>
      <c r="AG16" s="88" t="s">
        <v>494</v>
      </c>
      <c r="AH16" s="88"/>
      <c r="AI16" s="88"/>
      <c r="AJ16" s="210"/>
    </row>
    <row r="17" s="1" customFormat="1" ht="60" customHeight="1" spans="1:36">
      <c r="A17" s="367" t="s">
        <v>87</v>
      </c>
      <c r="B17" s="86" t="s">
        <v>88</v>
      </c>
      <c r="C17" s="87"/>
      <c r="D17" s="87"/>
      <c r="E17" s="87"/>
      <c r="F17" s="180"/>
      <c r="G17" s="181" t="s">
        <v>18</v>
      </c>
      <c r="H17" s="299" t="s">
        <v>495</v>
      </c>
      <c r="I17" s="299"/>
      <c r="J17" s="299"/>
      <c r="K17" s="299"/>
      <c r="L17" s="66" t="s">
        <v>20</v>
      </c>
      <c r="M17" s="101">
        <v>6</v>
      </c>
      <c r="N17" s="102">
        <v>0</v>
      </c>
      <c r="O17" s="66" t="s">
        <v>21</v>
      </c>
      <c r="P17" s="100" t="s">
        <v>496</v>
      </c>
      <c r="Q17" s="66" t="s">
        <v>20</v>
      </c>
      <c r="R17" s="101">
        <v>3</v>
      </c>
      <c r="S17" s="102">
        <v>0</v>
      </c>
      <c r="T17" s="66" t="s">
        <v>21</v>
      </c>
      <c r="U17" s="100" t="s">
        <v>22</v>
      </c>
      <c r="V17" s="66" t="s">
        <v>20</v>
      </c>
      <c r="W17" s="101">
        <v>4</v>
      </c>
      <c r="X17" s="102">
        <v>1</v>
      </c>
      <c r="Y17" s="66" t="s">
        <v>21</v>
      </c>
      <c r="Z17" s="100" t="s">
        <v>23</v>
      </c>
      <c r="AA17" s="66" t="s">
        <v>20</v>
      </c>
      <c r="AB17" s="101">
        <v>10</v>
      </c>
      <c r="AC17" s="102">
        <v>1</v>
      </c>
      <c r="AD17" s="66" t="s">
        <v>21</v>
      </c>
      <c r="AE17" s="100" t="s">
        <v>23</v>
      </c>
      <c r="AF17" s="66" t="s">
        <v>18</v>
      </c>
      <c r="AG17" s="89" t="s">
        <v>497</v>
      </c>
      <c r="AH17" s="89"/>
      <c r="AI17" s="89"/>
      <c r="AJ17" s="211"/>
    </row>
    <row r="18" s="1" customFormat="1" ht="85.35" customHeight="1" spans="1:36">
      <c r="A18" s="368" t="s">
        <v>151</v>
      </c>
      <c r="B18" s="91" t="s">
        <v>93</v>
      </c>
      <c r="C18" s="92"/>
      <c r="D18" s="92"/>
      <c r="E18" s="92"/>
      <c r="F18" s="369"/>
      <c r="G18" s="190"/>
      <c r="H18" s="370"/>
      <c r="I18" s="370"/>
      <c r="J18" s="370"/>
      <c r="K18" s="370"/>
      <c r="L18" s="94" t="s">
        <v>28</v>
      </c>
      <c r="M18" s="371" t="s">
        <v>498</v>
      </c>
      <c r="N18" s="372"/>
      <c r="O18" s="372"/>
      <c r="P18" s="372"/>
      <c r="Q18" s="94" t="s">
        <v>28</v>
      </c>
      <c r="R18" s="196" t="s">
        <v>499</v>
      </c>
      <c r="S18" s="373"/>
      <c r="T18" s="373"/>
      <c r="U18" s="373"/>
      <c r="V18" s="94" t="s">
        <v>28</v>
      </c>
      <c r="W18" s="374" t="s">
        <v>500</v>
      </c>
      <c r="X18" s="374"/>
      <c r="Y18" s="374"/>
      <c r="Z18" s="374"/>
      <c r="AA18" s="94" t="s">
        <v>28</v>
      </c>
      <c r="AB18" s="207" t="s">
        <v>501</v>
      </c>
      <c r="AC18" s="207"/>
      <c r="AD18" s="207"/>
      <c r="AE18" s="207"/>
      <c r="AF18" s="94"/>
      <c r="AG18" s="95"/>
      <c r="AH18" s="95"/>
      <c r="AI18" s="95"/>
      <c r="AJ18" s="219"/>
    </row>
    <row r="43" spans="18:18">
      <c r="R43"/>
    </row>
  </sheetData>
  <sheetProtection selectLockedCells="1" formatCells="0" formatColumns="0" formatRows="0" insertRows="0" insertColumns="0" insertHyperlinks="0" deleteColumns="0" deleteRows="0" sort="0" autoFilter="0" pivotTables="0"/>
  <mergeCells count="86">
    <mergeCell ref="B1:C1"/>
    <mergeCell ref="D1:E1"/>
    <mergeCell ref="L1:P1"/>
    <mergeCell ref="Q1:U1"/>
    <mergeCell ref="V1:Z1"/>
    <mergeCell ref="AA1:AE1"/>
    <mergeCell ref="AF1:AJ1"/>
    <mergeCell ref="G3:K3"/>
    <mergeCell ref="L3:P3"/>
    <mergeCell ref="Q3:U3"/>
    <mergeCell ref="V3:Z3"/>
    <mergeCell ref="AA3:AE3"/>
    <mergeCell ref="AF3:AJ3"/>
    <mergeCell ref="H4:K4"/>
    <mergeCell ref="AG4:AJ4"/>
    <mergeCell ref="B6:E6"/>
    <mergeCell ref="M6:P6"/>
    <mergeCell ref="R6:U6"/>
    <mergeCell ref="W6:Z6"/>
    <mergeCell ref="AB6:AE6"/>
    <mergeCell ref="G7:K7"/>
    <mergeCell ref="L7:P7"/>
    <mergeCell ref="Q7:U7"/>
    <mergeCell ref="V7:Z7"/>
    <mergeCell ref="AA7:AE7"/>
    <mergeCell ref="AF7:AJ7"/>
    <mergeCell ref="H8:K8"/>
    <mergeCell ref="AG8:AJ8"/>
    <mergeCell ref="B10:E10"/>
    <mergeCell ref="M10:P10"/>
    <mergeCell ref="R10:U10"/>
    <mergeCell ref="W10:Z10"/>
    <mergeCell ref="AB10:AE10"/>
    <mergeCell ref="G11:K11"/>
    <mergeCell ref="L11:P11"/>
    <mergeCell ref="Q11:U11"/>
    <mergeCell ref="V11:Z11"/>
    <mergeCell ref="AA11:AE11"/>
    <mergeCell ref="AF11:AJ11"/>
    <mergeCell ref="H12:K12"/>
    <mergeCell ref="AG12:AJ12"/>
    <mergeCell ref="M14:P14"/>
    <mergeCell ref="R14:U14"/>
    <mergeCell ref="W14:Z14"/>
    <mergeCell ref="AB14:AE14"/>
    <mergeCell ref="G15:K15"/>
    <mergeCell ref="L15:P15"/>
    <mergeCell ref="Q15:U15"/>
    <mergeCell ref="V15:Z15"/>
    <mergeCell ref="AA15:AE15"/>
    <mergeCell ref="AF15:AJ15"/>
    <mergeCell ref="B16:E16"/>
    <mergeCell ref="H16:K16"/>
    <mergeCell ref="AG16:AJ16"/>
    <mergeCell ref="B17:E17"/>
    <mergeCell ref="B18:E18"/>
    <mergeCell ref="M18:P18"/>
    <mergeCell ref="R18:U18"/>
    <mergeCell ref="W18:Z18"/>
    <mergeCell ref="AB18:AE18"/>
    <mergeCell ref="A7:A9"/>
    <mergeCell ref="A12:A14"/>
    <mergeCell ref="F3:F6"/>
    <mergeCell ref="F7:F10"/>
    <mergeCell ref="F11:F14"/>
    <mergeCell ref="F15:F18"/>
    <mergeCell ref="G5:G6"/>
    <mergeCell ref="G9:G10"/>
    <mergeCell ref="G13:G14"/>
    <mergeCell ref="G17:G18"/>
    <mergeCell ref="AF5:AF6"/>
    <mergeCell ref="AF9:AF10"/>
    <mergeCell ref="AF13:AF14"/>
    <mergeCell ref="AF17:AF18"/>
    <mergeCell ref="A4:B5"/>
    <mergeCell ref="C4:E5"/>
    <mergeCell ref="H5:K6"/>
    <mergeCell ref="B7:E9"/>
    <mergeCell ref="H9:K10"/>
    <mergeCell ref="B12:E14"/>
    <mergeCell ref="AG13:AJ14"/>
    <mergeCell ref="H17:K18"/>
    <mergeCell ref="AG17:AJ18"/>
    <mergeCell ref="H13:K14"/>
    <mergeCell ref="AG5:AJ6"/>
    <mergeCell ref="AG9:AJ10"/>
  </mergeCells>
  <conditionalFormatting sqref="AB4">
    <cfRule type="cellIs" dxfId="0" priority="4" operator="equal">
      <formula>0</formula>
    </cfRule>
  </conditionalFormatting>
  <conditionalFormatting sqref="AC4">
    <cfRule type="cellIs" dxfId="0" priority="5" operator="equal">
      <formula>0</formula>
    </cfRule>
  </conditionalFormatting>
  <conditionalFormatting sqref="M8">
    <cfRule type="cellIs" dxfId="0" priority="1" operator="equal">
      <formula>0</formula>
    </cfRule>
  </conditionalFormatting>
  <conditionalFormatting sqref="N8">
    <cfRule type="cellIs" dxfId="0" priority="2" operator="equal">
      <formula>0</formula>
    </cfRule>
  </conditionalFormatting>
  <conditionalFormatting sqref="M4:N5 R4:S5 R8:S9 W4:X5 W8:X9 M12:N13 R12:S13 W12:X13 M16:N17 R16:S17 W16:X17">
    <cfRule type="cellIs" dxfId="1" priority="10" operator="equal">
      <formula>0</formula>
    </cfRule>
  </conditionalFormatting>
  <conditionalFormatting sqref="M4 R4 W4 AB16 AB8 W8 R8 M12 R12 W12 AB12 M16 R16 W16">
    <cfRule type="cellIs" dxfId="0" priority="7" operator="equal">
      <formula>0</formula>
    </cfRule>
  </conditionalFormatting>
  <conditionalFormatting sqref="N4 S4 X4 N16 AC8 X8 N12 S12 S8 X12 AC12 AC16 X16 S16">
    <cfRule type="cellIs" dxfId="0" priority="8" operator="equal">
      <formula>0</formula>
    </cfRule>
  </conditionalFormatting>
  <conditionalFormatting sqref="AB4:AC5">
    <cfRule type="cellIs" dxfId="1" priority="6" operator="equal">
      <formula>0</formula>
    </cfRule>
  </conditionalFormatting>
  <conditionalFormatting sqref="M8:N9">
    <cfRule type="cellIs" dxfId="1" priority="3" operator="equal">
      <formula>0</formula>
    </cfRule>
  </conditionalFormatting>
  <conditionalFormatting sqref="AB16:AC17 AB8:AC9 AB12:AC13">
    <cfRule type="cellIs" dxfId="1" priority="9" operator="equal">
      <formula>0</formula>
    </cfRule>
  </conditionalFormatting>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5"/>
  </sheetPr>
  <dimension ref="A1:AJ47"/>
  <sheetViews>
    <sheetView showGridLines="0" zoomScale="85" zoomScaleNormal="85" topLeftCell="A5" workbookViewId="0">
      <selection activeCell="U8" sqref="U8"/>
    </sheetView>
  </sheetViews>
  <sheetFormatPr defaultColWidth="8.89090909090909" defaultRowHeight="16.5"/>
  <cols>
    <col min="1" max="5" width="10" style="1" customWidth="1"/>
    <col min="6" max="7" width="5" style="1" customWidth="1"/>
    <col min="8" max="11" width="10" style="1" customWidth="1"/>
    <col min="12" max="12" width="5" style="1" customWidth="1"/>
    <col min="13" max="14" width="10" style="1" customWidth="1"/>
    <col min="15" max="15" width="5" style="1" customWidth="1"/>
    <col min="16" max="16" width="20" style="1" customWidth="1"/>
    <col min="17" max="17" width="5" style="1" customWidth="1"/>
    <col min="18" max="19" width="10" style="1" customWidth="1"/>
    <col min="20" max="20" width="5" style="1" customWidth="1"/>
    <col min="21" max="21" width="20" style="1" customWidth="1"/>
    <col min="22" max="22" width="5" style="1" customWidth="1"/>
    <col min="23" max="24" width="10" style="1" customWidth="1"/>
    <col min="25" max="25" width="5" style="1" customWidth="1"/>
    <col min="26" max="26" width="20" style="1" customWidth="1"/>
    <col min="27" max="27" width="5" style="1" customWidth="1"/>
    <col min="28" max="29" width="10" style="1" customWidth="1"/>
    <col min="30" max="30" width="5" style="1" customWidth="1"/>
    <col min="31" max="31" width="20" style="1" customWidth="1"/>
    <col min="32" max="32" width="5" style="1" customWidth="1"/>
    <col min="33" max="36" width="10" style="1" customWidth="1"/>
    <col min="37" max="16384" width="8.89090909090909" style="1"/>
  </cols>
  <sheetData>
    <row r="1" s="1" customFormat="1" ht="60" customHeight="1" spans="1:36">
      <c r="A1" s="174" t="str">
        <f>_xlfn.DISPIMG("ID_B8866FF8443B4D5096579B7AE4F8D3EB",1)</f>
        <v>=DISPIMG("ID_B8866FF8443B4D5096579B7AE4F8D3EB",1)</v>
      </c>
      <c r="B1" s="54" t="s">
        <v>345</v>
      </c>
      <c r="C1" s="54"/>
      <c r="D1" s="175" t="s">
        <v>346</v>
      </c>
      <c r="E1" s="176"/>
      <c r="F1" s="5"/>
      <c r="L1" s="109"/>
      <c r="M1" s="5"/>
      <c r="N1" s="5"/>
      <c r="O1" s="5"/>
      <c r="P1" s="5"/>
      <c r="Q1" s="109"/>
      <c r="R1" s="5"/>
      <c r="S1" s="5"/>
      <c r="T1" s="5"/>
      <c r="U1" s="5"/>
      <c r="V1" s="109"/>
      <c r="W1" s="5"/>
      <c r="X1" s="5"/>
      <c r="Y1" s="5"/>
      <c r="Z1" s="5"/>
      <c r="AA1" s="109"/>
      <c r="AB1" s="5"/>
      <c r="AC1" s="5"/>
      <c r="AD1" s="5"/>
      <c r="AE1" s="5"/>
      <c r="AF1" s="205" t="s">
        <v>227</v>
      </c>
      <c r="AG1" s="208"/>
      <c r="AH1" s="208"/>
      <c r="AI1" s="208"/>
      <c r="AJ1" s="208"/>
    </row>
    <row r="2" s="1" customFormat="1" ht="15" customHeight="1" spans="1:36">
      <c r="A2" s="58"/>
      <c r="B2" s="58"/>
      <c r="C2" s="58"/>
      <c r="D2" s="58"/>
      <c r="E2" s="58"/>
      <c r="F2" s="177"/>
      <c r="G2" s="177"/>
      <c r="H2" s="177"/>
      <c r="I2" s="177"/>
      <c r="J2" s="177"/>
      <c r="K2" s="177"/>
      <c r="L2" s="192"/>
      <c r="M2" s="192"/>
      <c r="N2" s="192"/>
      <c r="O2" s="192"/>
      <c r="P2" s="192"/>
      <c r="Q2" s="192"/>
      <c r="R2" s="192"/>
      <c r="S2" s="192"/>
      <c r="T2" s="192"/>
      <c r="U2" s="192"/>
      <c r="V2" s="192"/>
      <c r="W2" s="192"/>
      <c r="X2" s="192"/>
      <c r="Y2" s="192"/>
      <c r="Z2" s="192"/>
      <c r="AA2" s="192"/>
      <c r="AB2" s="192"/>
      <c r="AC2" s="192"/>
      <c r="AD2" s="192"/>
      <c r="AE2" s="192"/>
      <c r="AF2" s="206"/>
      <c r="AG2" s="206"/>
      <c r="AH2" s="206"/>
      <c r="AI2" s="206"/>
      <c r="AJ2" s="209"/>
    </row>
    <row r="3" s="1" customFormat="1" ht="20" customHeight="1" spans="1:36">
      <c r="A3" s="58"/>
      <c r="B3" s="58"/>
      <c r="C3" s="58"/>
      <c r="D3" s="58"/>
      <c r="E3" s="58"/>
      <c r="F3" s="178" t="s">
        <v>3</v>
      </c>
      <c r="G3" s="179" t="s">
        <v>4</v>
      </c>
      <c r="H3" s="61"/>
      <c r="I3" s="61"/>
      <c r="J3" s="61"/>
      <c r="K3" s="61"/>
      <c r="L3" s="106" t="s">
        <v>502</v>
      </c>
      <c r="M3" s="61"/>
      <c r="N3" s="61"/>
      <c r="O3" s="61"/>
      <c r="P3" s="61"/>
      <c r="Q3" s="106" t="s">
        <v>503</v>
      </c>
      <c r="R3" s="61"/>
      <c r="S3" s="61"/>
      <c r="T3" s="61"/>
      <c r="U3" s="61"/>
      <c r="V3" s="106" t="s">
        <v>504</v>
      </c>
      <c r="W3" s="61"/>
      <c r="X3" s="61"/>
      <c r="Y3" s="61"/>
      <c r="Z3" s="61"/>
      <c r="AA3" s="106" t="s">
        <v>505</v>
      </c>
      <c r="AB3" s="61"/>
      <c r="AC3" s="61"/>
      <c r="AD3" s="61"/>
      <c r="AE3" s="61"/>
      <c r="AF3" s="61" t="s">
        <v>9</v>
      </c>
      <c r="AG3" s="61"/>
      <c r="AH3" s="61"/>
      <c r="AI3" s="61"/>
      <c r="AJ3" s="115"/>
    </row>
    <row r="4" s="1" customFormat="1" ht="60" customHeight="1" spans="1:36">
      <c r="A4" s="62" t="str">
        <f>_xlfn.DISPIMG("ID_08D41D522AE04E359069F4FC2ACE8371",1)</f>
        <v>=DISPIMG("ID_08D41D522AE04E359069F4FC2ACE8371",1)</v>
      </c>
      <c r="B4" s="62"/>
      <c r="C4" s="63" t="s">
        <v>506</v>
      </c>
      <c r="D4" s="64"/>
      <c r="E4" s="64"/>
      <c r="F4" s="180"/>
      <c r="G4" s="181" t="s">
        <v>11</v>
      </c>
      <c r="H4" s="74" t="s">
        <v>507</v>
      </c>
      <c r="I4" s="74"/>
      <c r="J4" s="74"/>
      <c r="K4" s="74"/>
      <c r="L4" s="66" t="s">
        <v>13</v>
      </c>
      <c r="M4" s="98">
        <v>1</v>
      </c>
      <c r="N4" s="99">
        <v>1</v>
      </c>
      <c r="O4" s="66" t="s">
        <v>14</v>
      </c>
      <c r="P4" s="100" t="str">
        <f>_xlfn.DISPIMG("ID_06FAE83C0AD241758D90AB199AA493DB",1)</f>
        <v>=DISPIMG("ID_06FAE83C0AD241758D90AB199AA493DB",1)</v>
      </c>
      <c r="Q4" s="66" t="s">
        <v>13</v>
      </c>
      <c r="R4" s="98">
        <v>1</v>
      </c>
      <c r="S4" s="99">
        <v>0</v>
      </c>
      <c r="T4" s="66" t="s">
        <v>14</v>
      </c>
      <c r="U4" s="100" t="str">
        <f>_xlfn.DISPIMG("ID_54C89963131846578FC36E23A0FFED17",1)</f>
        <v>=DISPIMG("ID_54C89963131846578FC36E23A0FFED17",1)</v>
      </c>
      <c r="V4" s="66" t="s">
        <v>13</v>
      </c>
      <c r="W4" s="98">
        <v>0</v>
      </c>
      <c r="X4" s="99">
        <v>1</v>
      </c>
      <c r="Y4" s="66" t="s">
        <v>14</v>
      </c>
      <c r="Z4" s="100" t="s">
        <v>44</v>
      </c>
      <c r="AA4" s="66" t="s">
        <v>13</v>
      </c>
      <c r="AB4" s="98">
        <v>0</v>
      </c>
      <c r="AC4" s="99">
        <v>0</v>
      </c>
      <c r="AD4" s="66" t="s">
        <v>14</v>
      </c>
      <c r="AE4" s="100" t="s">
        <v>45</v>
      </c>
      <c r="AF4" s="66" t="s">
        <v>16</v>
      </c>
      <c r="AG4" s="159" t="s">
        <v>508</v>
      </c>
      <c r="AH4" s="159"/>
      <c r="AI4" s="159"/>
      <c r="AJ4" s="160"/>
    </row>
    <row r="5" s="1" customFormat="1" ht="60" customHeight="1" spans="1:36">
      <c r="A5" s="62"/>
      <c r="B5" s="62"/>
      <c r="C5" s="64"/>
      <c r="D5" s="64"/>
      <c r="E5" s="64"/>
      <c r="F5" s="180"/>
      <c r="G5" s="181" t="s">
        <v>18</v>
      </c>
      <c r="H5" s="75" t="s">
        <v>509</v>
      </c>
      <c r="I5" s="75"/>
      <c r="J5" s="75"/>
      <c r="K5" s="75"/>
      <c r="L5" s="66" t="s">
        <v>20</v>
      </c>
      <c r="M5" s="101">
        <v>1</v>
      </c>
      <c r="N5" s="102">
        <v>0</v>
      </c>
      <c r="O5" s="66" t="s">
        <v>21</v>
      </c>
      <c r="P5" s="100" t="str">
        <f>_xlfn.DISPIMG("ID_047325DC0A3E4F3EB849B53E4C513046",1)</f>
        <v>=DISPIMG("ID_047325DC0A3E4F3EB849B53E4C513046",1)</v>
      </c>
      <c r="Q5" s="66" t="s">
        <v>20</v>
      </c>
      <c r="R5" s="101">
        <v>4</v>
      </c>
      <c r="S5" s="102">
        <v>0</v>
      </c>
      <c r="T5" s="66" t="s">
        <v>21</v>
      </c>
      <c r="U5" s="100" t="s">
        <v>510</v>
      </c>
      <c r="V5" s="66" t="s">
        <v>20</v>
      </c>
      <c r="W5" s="101">
        <v>1</v>
      </c>
      <c r="X5" s="102">
        <v>0</v>
      </c>
      <c r="Y5" s="66" t="s">
        <v>21</v>
      </c>
      <c r="Z5" s="100" t="s">
        <v>510</v>
      </c>
      <c r="AA5" s="66" t="s">
        <v>20</v>
      </c>
      <c r="AB5" s="101">
        <v>6</v>
      </c>
      <c r="AC5" s="102">
        <v>1</v>
      </c>
      <c r="AD5" s="66" t="s">
        <v>21</v>
      </c>
      <c r="AE5" s="100" t="s">
        <v>45</v>
      </c>
      <c r="AF5" s="66" t="s">
        <v>24</v>
      </c>
      <c r="AG5" s="215" t="s">
        <v>511</v>
      </c>
      <c r="AH5" s="215"/>
      <c r="AI5" s="215"/>
      <c r="AJ5" s="216"/>
    </row>
    <row r="6" s="1" customFormat="1" ht="60" customHeight="1" spans="1:36">
      <c r="A6" s="69" t="s">
        <v>26</v>
      </c>
      <c r="B6" s="70" t="s">
        <v>512</v>
      </c>
      <c r="C6" s="71"/>
      <c r="D6" s="71"/>
      <c r="E6" s="71"/>
      <c r="F6" s="182"/>
      <c r="G6" s="183"/>
      <c r="H6" s="321"/>
      <c r="I6" s="321"/>
      <c r="J6" s="321"/>
      <c r="K6" s="321"/>
      <c r="L6" s="193" t="s">
        <v>28</v>
      </c>
      <c r="M6" s="234" t="s">
        <v>513</v>
      </c>
      <c r="N6" s="234"/>
      <c r="O6" s="234"/>
      <c r="P6" s="234"/>
      <c r="Q6" s="193" t="s">
        <v>28</v>
      </c>
      <c r="R6" s="234" t="s">
        <v>514</v>
      </c>
      <c r="S6" s="194"/>
      <c r="T6" s="194"/>
      <c r="U6" s="194"/>
      <c r="V6" s="193" t="s">
        <v>28</v>
      </c>
      <c r="W6" s="263" t="s">
        <v>515</v>
      </c>
      <c r="X6" s="263"/>
      <c r="Y6" s="263"/>
      <c r="Z6" s="263"/>
      <c r="AA6" s="193" t="s">
        <v>28</v>
      </c>
      <c r="AB6" s="291" t="s">
        <v>516</v>
      </c>
      <c r="AC6" s="291"/>
      <c r="AD6" s="291"/>
      <c r="AE6" s="291"/>
      <c r="AF6" s="193"/>
      <c r="AG6" s="217"/>
      <c r="AH6" s="217"/>
      <c r="AI6" s="217"/>
      <c r="AJ6" s="218"/>
    </row>
    <row r="7" s="1" customFormat="1" ht="20" customHeight="1" spans="1:36">
      <c r="A7" s="69" t="s">
        <v>33</v>
      </c>
      <c r="B7" s="72" t="s">
        <v>517</v>
      </c>
      <c r="C7" s="72"/>
      <c r="D7" s="72"/>
      <c r="E7" s="72"/>
      <c r="F7" s="180" t="s">
        <v>35</v>
      </c>
      <c r="G7" s="179" t="s">
        <v>36</v>
      </c>
      <c r="H7" s="61"/>
      <c r="I7" s="61"/>
      <c r="J7" s="61"/>
      <c r="K7" s="61"/>
      <c r="L7" s="106" t="s">
        <v>518</v>
      </c>
      <c r="M7" s="61"/>
      <c r="N7" s="61"/>
      <c r="O7" s="61"/>
      <c r="P7" s="61"/>
      <c r="Q7" s="61" t="s">
        <v>519</v>
      </c>
      <c r="R7" s="61"/>
      <c r="S7" s="61"/>
      <c r="T7" s="61"/>
      <c r="U7" s="61"/>
      <c r="V7" s="61" t="s">
        <v>520</v>
      </c>
      <c r="W7" s="61"/>
      <c r="X7" s="61"/>
      <c r="Y7" s="61"/>
      <c r="Z7" s="61"/>
      <c r="AA7" s="106" t="s">
        <v>521</v>
      </c>
      <c r="AB7" s="61"/>
      <c r="AC7" s="61"/>
      <c r="AD7" s="61"/>
      <c r="AE7" s="61"/>
      <c r="AF7" s="61" t="s">
        <v>41</v>
      </c>
      <c r="AG7" s="61"/>
      <c r="AH7" s="61"/>
      <c r="AI7" s="61"/>
      <c r="AJ7" s="115"/>
    </row>
    <row r="8" s="1" customFormat="1" ht="60" customHeight="1" spans="1:36">
      <c r="A8" s="69"/>
      <c r="B8" s="72"/>
      <c r="C8" s="72"/>
      <c r="D8" s="72"/>
      <c r="E8" s="72"/>
      <c r="F8" s="180"/>
      <c r="G8" s="181" t="s">
        <v>11</v>
      </c>
      <c r="H8" s="316" t="s">
        <v>522</v>
      </c>
      <c r="I8" s="316"/>
      <c r="J8" s="316"/>
      <c r="K8" s="316"/>
      <c r="L8" s="66" t="s">
        <v>13</v>
      </c>
      <c r="M8" s="98">
        <v>1</v>
      </c>
      <c r="N8" s="99">
        <v>0</v>
      </c>
      <c r="O8" s="66" t="s">
        <v>14</v>
      </c>
      <c r="P8" s="100" t="str">
        <f>_xlfn.DISPIMG("ID_BA58218353E74F7DAC0502083F309392",1)</f>
        <v>=DISPIMG("ID_BA58218353E74F7DAC0502083F309392",1)</v>
      </c>
      <c r="Q8" s="66" t="s">
        <v>13</v>
      </c>
      <c r="R8" s="98">
        <v>1</v>
      </c>
      <c r="S8" s="99">
        <v>0</v>
      </c>
      <c r="T8" s="66" t="s">
        <v>14</v>
      </c>
      <c r="U8" s="100" t="str">
        <f>_xlfn.DISPIMG("ID_8BC8464479CD4B10B008A050363D9845",1)</f>
        <v>=DISPIMG("ID_8BC8464479CD4B10B008A050363D9845",1)</v>
      </c>
      <c r="V8" s="66" t="s">
        <v>13</v>
      </c>
      <c r="W8" s="98">
        <v>0</v>
      </c>
      <c r="X8" s="99">
        <v>1</v>
      </c>
      <c r="Y8" s="66" t="s">
        <v>14</v>
      </c>
      <c r="Z8" s="100" t="s">
        <v>45</v>
      </c>
      <c r="AA8" s="66" t="s">
        <v>13</v>
      </c>
      <c r="AB8" s="98">
        <v>0</v>
      </c>
      <c r="AC8" s="99">
        <v>0</v>
      </c>
      <c r="AD8" s="66" t="s">
        <v>14</v>
      </c>
      <c r="AE8" s="100" t="s">
        <v>45</v>
      </c>
      <c r="AF8" s="66" t="s">
        <v>16</v>
      </c>
      <c r="AG8" s="159" t="s">
        <v>523</v>
      </c>
      <c r="AH8" s="159"/>
      <c r="AI8" s="159"/>
      <c r="AJ8" s="160"/>
    </row>
    <row r="9" s="1" customFormat="1" ht="60" customHeight="1" spans="1:36">
      <c r="A9" s="69"/>
      <c r="B9" s="72"/>
      <c r="C9" s="72"/>
      <c r="D9" s="72"/>
      <c r="E9" s="72"/>
      <c r="F9" s="180"/>
      <c r="G9" s="181" t="s">
        <v>18</v>
      </c>
      <c r="H9" s="340" t="s">
        <v>524</v>
      </c>
      <c r="I9" s="340"/>
      <c r="J9" s="340"/>
      <c r="K9" s="340"/>
      <c r="L9" s="66" t="s">
        <v>20</v>
      </c>
      <c r="M9" s="101">
        <v>3</v>
      </c>
      <c r="N9" s="102">
        <v>0</v>
      </c>
      <c r="O9" s="66" t="s">
        <v>21</v>
      </c>
      <c r="P9" s="100" t="s">
        <v>510</v>
      </c>
      <c r="Q9" s="66" t="s">
        <v>20</v>
      </c>
      <c r="R9" s="101">
        <v>8</v>
      </c>
      <c r="S9" s="102">
        <v>0</v>
      </c>
      <c r="T9" s="66" t="s">
        <v>21</v>
      </c>
      <c r="U9" s="100" t="s">
        <v>510</v>
      </c>
      <c r="V9" s="66" t="s">
        <v>20</v>
      </c>
      <c r="W9" s="101">
        <v>2</v>
      </c>
      <c r="X9" s="102">
        <v>0</v>
      </c>
      <c r="Y9" s="66" t="s">
        <v>21</v>
      </c>
      <c r="Z9" s="100" t="s">
        <v>45</v>
      </c>
      <c r="AA9" s="66" t="s">
        <v>20</v>
      </c>
      <c r="AB9" s="101">
        <v>5</v>
      </c>
      <c r="AC9" s="102">
        <v>1</v>
      </c>
      <c r="AD9" s="66" t="s">
        <v>21</v>
      </c>
      <c r="AE9" s="100" t="s">
        <v>45</v>
      </c>
      <c r="AF9" s="66" t="s">
        <v>24</v>
      </c>
      <c r="AG9" s="215" t="s">
        <v>525</v>
      </c>
      <c r="AH9" s="215"/>
      <c r="AI9" s="215"/>
      <c r="AJ9" s="216"/>
    </row>
    <row r="10" s="1" customFormat="1" ht="60" customHeight="1" spans="1:36">
      <c r="A10" s="69" t="s">
        <v>49</v>
      </c>
      <c r="B10" s="70" t="s">
        <v>526</v>
      </c>
      <c r="C10" s="71"/>
      <c r="D10" s="71"/>
      <c r="E10" s="71"/>
      <c r="F10" s="180"/>
      <c r="G10" s="183"/>
      <c r="H10" s="341"/>
      <c r="I10" s="341"/>
      <c r="J10" s="341"/>
      <c r="K10" s="341"/>
      <c r="L10" s="193" t="s">
        <v>28</v>
      </c>
      <c r="M10" s="204" t="s">
        <v>527</v>
      </c>
      <c r="N10" s="204"/>
      <c r="O10" s="204"/>
      <c r="P10" s="204"/>
      <c r="Q10" s="193" t="s">
        <v>28</v>
      </c>
      <c r="R10" s="195" t="s">
        <v>528</v>
      </c>
      <c r="S10" s="229"/>
      <c r="T10" s="229"/>
      <c r="U10" s="229"/>
      <c r="V10" s="193" t="s">
        <v>28</v>
      </c>
      <c r="W10" s="329" t="s">
        <v>529</v>
      </c>
      <c r="X10" s="329"/>
      <c r="Y10" s="329"/>
      <c r="Z10" s="329"/>
      <c r="AA10" s="193" t="s">
        <v>28</v>
      </c>
      <c r="AB10" s="234" t="s">
        <v>530</v>
      </c>
      <c r="AC10" s="234"/>
      <c r="AD10" s="234"/>
      <c r="AE10" s="234"/>
      <c r="AF10" s="193"/>
      <c r="AG10" s="217"/>
      <c r="AH10" s="217"/>
      <c r="AI10" s="217"/>
      <c r="AJ10" s="218"/>
    </row>
    <row r="11" s="1" customFormat="1" ht="20" customHeight="1" spans="1:36">
      <c r="A11" s="78"/>
      <c r="B11" s="78"/>
      <c r="C11" s="78"/>
      <c r="D11" s="78"/>
      <c r="E11" s="78"/>
      <c r="F11" s="186" t="s">
        <v>55</v>
      </c>
      <c r="G11" s="179" t="s">
        <v>56</v>
      </c>
      <c r="H11" s="61"/>
      <c r="I11" s="61"/>
      <c r="J11" s="61"/>
      <c r="K11" s="61"/>
      <c r="L11" s="106" t="s">
        <v>531</v>
      </c>
      <c r="M11" s="61"/>
      <c r="N11" s="61"/>
      <c r="O11" s="61"/>
      <c r="P11" s="61"/>
      <c r="Q11" s="106" t="s">
        <v>532</v>
      </c>
      <c r="R11" s="61"/>
      <c r="S11" s="61"/>
      <c r="T11" s="61"/>
      <c r="U11" s="61"/>
      <c r="V11" s="106" t="s">
        <v>350</v>
      </c>
      <c r="W11" s="61"/>
      <c r="X11" s="61"/>
      <c r="Y11" s="61"/>
      <c r="Z11" s="61"/>
      <c r="AA11" s="106" t="s">
        <v>533</v>
      </c>
      <c r="AB11" s="61"/>
      <c r="AC11" s="61"/>
      <c r="AD11" s="61"/>
      <c r="AE11" s="61"/>
      <c r="AF11" s="61" t="s">
        <v>61</v>
      </c>
      <c r="AG11" s="61"/>
      <c r="AH11" s="61"/>
      <c r="AI11" s="61"/>
      <c r="AJ11" s="115"/>
    </row>
    <row r="12" s="1" customFormat="1" ht="60" customHeight="1" spans="1:36">
      <c r="A12" s="79" t="s">
        <v>62</v>
      </c>
      <c r="B12" s="80" t="str">
        <f>_xlfn.DISPIMG("ID_FCBD9BED3D2C48F6BF6C0079E2C7E7BF",1)</f>
        <v>=DISPIMG("ID_FCBD9BED3D2C48F6BF6C0079E2C7E7BF",1)</v>
      </c>
      <c r="C12" s="80"/>
      <c r="D12" s="80"/>
      <c r="E12" s="80"/>
      <c r="F12" s="180"/>
      <c r="G12" s="181" t="s">
        <v>11</v>
      </c>
      <c r="H12" s="316" t="s">
        <v>534</v>
      </c>
      <c r="I12" s="316"/>
      <c r="J12" s="316"/>
      <c r="K12" s="316"/>
      <c r="L12" s="66" t="s">
        <v>13</v>
      </c>
      <c r="M12" s="98">
        <v>1</v>
      </c>
      <c r="N12" s="99">
        <v>0</v>
      </c>
      <c r="O12" s="66" t="s">
        <v>14</v>
      </c>
      <c r="P12" s="100" t="s">
        <v>44</v>
      </c>
      <c r="Q12" s="66" t="s">
        <v>13</v>
      </c>
      <c r="R12" s="98">
        <v>1</v>
      </c>
      <c r="S12" s="99">
        <v>1</v>
      </c>
      <c r="T12" s="66" t="s">
        <v>14</v>
      </c>
      <c r="U12" s="100" t="s">
        <v>161</v>
      </c>
      <c r="V12" s="66" t="s">
        <v>13</v>
      </c>
      <c r="W12" s="98">
        <v>1</v>
      </c>
      <c r="X12" s="99">
        <v>0</v>
      </c>
      <c r="Y12" s="66" t="s">
        <v>14</v>
      </c>
      <c r="Z12" s="100" t="s">
        <v>45</v>
      </c>
      <c r="AA12" s="66" t="s">
        <v>13</v>
      </c>
      <c r="AB12" s="292">
        <v>0</v>
      </c>
      <c r="AC12" s="99">
        <v>0</v>
      </c>
      <c r="AD12" s="66" t="s">
        <v>14</v>
      </c>
      <c r="AE12" s="100" t="s">
        <v>45</v>
      </c>
      <c r="AF12" s="66" t="s">
        <v>16</v>
      </c>
      <c r="AG12" s="159" t="s">
        <v>535</v>
      </c>
      <c r="AH12" s="159"/>
      <c r="AI12" s="159"/>
      <c r="AJ12" s="160"/>
    </row>
    <row r="13" s="1" customFormat="1" ht="60" customHeight="1" spans="1:36">
      <c r="A13" s="82"/>
      <c r="B13" s="80"/>
      <c r="C13" s="80"/>
      <c r="D13" s="80"/>
      <c r="E13" s="80"/>
      <c r="F13" s="180"/>
      <c r="G13" s="181" t="s">
        <v>18</v>
      </c>
      <c r="H13" s="317" t="s">
        <v>536</v>
      </c>
      <c r="I13" s="317"/>
      <c r="J13" s="317"/>
      <c r="K13" s="317"/>
      <c r="L13" s="66" t="s">
        <v>20</v>
      </c>
      <c r="M13" s="101">
        <v>6</v>
      </c>
      <c r="N13" s="102">
        <v>0</v>
      </c>
      <c r="O13" s="66" t="s">
        <v>21</v>
      </c>
      <c r="P13" s="100" t="s">
        <v>510</v>
      </c>
      <c r="Q13" s="66" t="s">
        <v>20</v>
      </c>
      <c r="R13" s="101">
        <v>5</v>
      </c>
      <c r="S13" s="102">
        <v>1</v>
      </c>
      <c r="T13" s="66" t="s">
        <v>21</v>
      </c>
      <c r="U13" s="100" t="s">
        <v>510</v>
      </c>
      <c r="V13" s="66" t="s">
        <v>20</v>
      </c>
      <c r="W13" s="101">
        <v>2</v>
      </c>
      <c r="X13" s="102">
        <v>0</v>
      </c>
      <c r="Y13" s="66" t="s">
        <v>21</v>
      </c>
      <c r="Z13" s="100" t="s">
        <v>45</v>
      </c>
      <c r="AA13" s="66" t="s">
        <v>20</v>
      </c>
      <c r="AB13" s="101">
        <v>0</v>
      </c>
      <c r="AC13" s="102">
        <v>2</v>
      </c>
      <c r="AD13" s="66" t="s">
        <v>21</v>
      </c>
      <c r="AE13" s="100" t="s">
        <v>45</v>
      </c>
      <c r="AF13" s="66" t="s">
        <v>24</v>
      </c>
      <c r="AG13" s="161" t="s">
        <v>537</v>
      </c>
      <c r="AH13" s="347"/>
      <c r="AI13" s="347"/>
      <c r="AJ13" s="348"/>
    </row>
    <row r="14" s="1" customFormat="1" ht="60" customHeight="1" spans="1:36">
      <c r="A14" s="82"/>
      <c r="B14" s="80"/>
      <c r="C14" s="80"/>
      <c r="D14" s="80"/>
      <c r="E14" s="80"/>
      <c r="F14" s="182"/>
      <c r="G14" s="183"/>
      <c r="H14" s="318"/>
      <c r="I14" s="318"/>
      <c r="J14" s="318"/>
      <c r="K14" s="318"/>
      <c r="L14" s="193" t="s">
        <v>28</v>
      </c>
      <c r="M14" s="234" t="s">
        <v>538</v>
      </c>
      <c r="N14" s="342"/>
      <c r="O14" s="342"/>
      <c r="P14" s="342"/>
      <c r="Q14" s="193" t="s">
        <v>28</v>
      </c>
      <c r="R14" s="343" t="s">
        <v>539</v>
      </c>
      <c r="S14" s="344"/>
      <c r="T14" s="344"/>
      <c r="U14" s="344"/>
      <c r="V14" s="193" t="s">
        <v>28</v>
      </c>
      <c r="W14" s="291" t="s">
        <v>540</v>
      </c>
      <c r="X14" s="345"/>
      <c r="Y14" s="345"/>
      <c r="Z14" s="345"/>
      <c r="AA14" s="193" t="s">
        <v>28</v>
      </c>
      <c r="AB14" s="328" t="s">
        <v>541</v>
      </c>
      <c r="AC14" s="265"/>
      <c r="AD14" s="265"/>
      <c r="AE14" s="265"/>
      <c r="AF14" s="193"/>
      <c r="AG14" s="349"/>
      <c r="AH14" s="349"/>
      <c r="AI14" s="349"/>
      <c r="AJ14" s="350"/>
    </row>
    <row r="15" s="1" customFormat="1" ht="20" customHeight="1" spans="1:36">
      <c r="A15" s="83"/>
      <c r="B15" s="83"/>
      <c r="C15" s="83"/>
      <c r="D15" s="83"/>
      <c r="E15" s="83"/>
      <c r="F15" s="180" t="s">
        <v>77</v>
      </c>
      <c r="G15" s="179" t="s">
        <v>78</v>
      </c>
      <c r="H15" s="61"/>
      <c r="I15" s="61"/>
      <c r="J15" s="61"/>
      <c r="K15" s="61"/>
      <c r="L15" s="106" t="s">
        <v>542</v>
      </c>
      <c r="M15" s="61"/>
      <c r="N15" s="61"/>
      <c r="O15" s="61"/>
      <c r="P15" s="61"/>
      <c r="Q15" s="106" t="s">
        <v>543</v>
      </c>
      <c r="R15" s="61"/>
      <c r="S15" s="61"/>
      <c r="T15" s="61"/>
      <c r="U15" s="61"/>
      <c r="V15" s="106" t="s">
        <v>544</v>
      </c>
      <c r="W15" s="61"/>
      <c r="X15" s="61"/>
      <c r="Y15" s="61"/>
      <c r="Z15" s="61"/>
      <c r="AA15" s="106" t="s">
        <v>545</v>
      </c>
      <c r="AB15" s="61"/>
      <c r="AC15" s="61"/>
      <c r="AD15" s="61"/>
      <c r="AE15" s="61"/>
      <c r="AF15" s="61" t="s">
        <v>78</v>
      </c>
      <c r="AG15" s="61"/>
      <c r="AH15" s="61"/>
      <c r="AI15" s="61"/>
      <c r="AJ15" s="115"/>
    </row>
    <row r="16" s="1" customFormat="1" ht="60" customHeight="1" spans="1:36">
      <c r="A16" s="85" t="s">
        <v>83</v>
      </c>
      <c r="B16" s="86" t="s">
        <v>84</v>
      </c>
      <c r="C16" s="87"/>
      <c r="D16" s="87"/>
      <c r="E16" s="87"/>
      <c r="F16" s="180"/>
      <c r="G16" s="181" t="s">
        <v>11</v>
      </c>
      <c r="H16" s="88" t="s">
        <v>546</v>
      </c>
      <c r="I16" s="88"/>
      <c r="J16" s="88"/>
      <c r="K16" s="88"/>
      <c r="L16" s="66" t="s">
        <v>13</v>
      </c>
      <c r="M16" s="98">
        <v>1</v>
      </c>
      <c r="N16" s="99">
        <v>1</v>
      </c>
      <c r="O16" s="66" t="s">
        <v>14</v>
      </c>
      <c r="P16" s="100" t="s">
        <v>44</v>
      </c>
      <c r="Q16" s="66" t="s">
        <v>13</v>
      </c>
      <c r="R16" s="98">
        <v>1</v>
      </c>
      <c r="S16" s="99">
        <v>0</v>
      </c>
      <c r="T16" s="66" t="s">
        <v>14</v>
      </c>
      <c r="U16" s="100" t="str">
        <f>_xlfn.DISPIMG("ID_207D8C9A93CB4A2DB79141727A5AD7E6",1)</f>
        <v>=DISPIMG("ID_207D8C9A93CB4A2DB79141727A5AD7E6",1)</v>
      </c>
      <c r="V16" s="66" t="s">
        <v>13</v>
      </c>
      <c r="W16" s="98">
        <v>0</v>
      </c>
      <c r="X16" s="99">
        <v>0</v>
      </c>
      <c r="Y16" s="66" t="s">
        <v>14</v>
      </c>
      <c r="Z16" s="100" t="s">
        <v>45</v>
      </c>
      <c r="AA16" s="66" t="s">
        <v>13</v>
      </c>
      <c r="AB16" s="98">
        <v>1</v>
      </c>
      <c r="AC16" s="99">
        <v>1</v>
      </c>
      <c r="AD16" s="66" t="s">
        <v>14</v>
      </c>
      <c r="AE16" s="100" t="s">
        <v>44</v>
      </c>
      <c r="AF16" s="66" t="s">
        <v>11</v>
      </c>
      <c r="AG16" s="159" t="s">
        <v>547</v>
      </c>
      <c r="AH16" s="159"/>
      <c r="AI16" s="159"/>
      <c r="AJ16" s="159"/>
    </row>
    <row r="17" s="1" customFormat="1" ht="60" customHeight="1" spans="1:36">
      <c r="A17" s="85" t="s">
        <v>87</v>
      </c>
      <c r="B17" s="86" t="s">
        <v>88</v>
      </c>
      <c r="C17" s="87"/>
      <c r="D17" s="87"/>
      <c r="E17" s="87"/>
      <c r="F17" s="180"/>
      <c r="G17" s="181" t="s">
        <v>18</v>
      </c>
      <c r="H17" s="89" t="s">
        <v>548</v>
      </c>
      <c r="I17" s="89"/>
      <c r="J17" s="89"/>
      <c r="K17" s="89"/>
      <c r="L17" s="66" t="s">
        <v>20</v>
      </c>
      <c r="M17" s="101">
        <v>2</v>
      </c>
      <c r="N17" s="102">
        <v>0</v>
      </c>
      <c r="O17" s="66" t="s">
        <v>21</v>
      </c>
      <c r="P17" s="100" t="s">
        <v>510</v>
      </c>
      <c r="Q17" s="66" t="s">
        <v>20</v>
      </c>
      <c r="R17" s="101">
        <v>4</v>
      </c>
      <c r="S17" s="102">
        <v>0</v>
      </c>
      <c r="T17" s="66" t="s">
        <v>21</v>
      </c>
      <c r="U17" s="100" t="s">
        <v>22</v>
      </c>
      <c r="V17" s="66" t="s">
        <v>20</v>
      </c>
      <c r="W17" s="101">
        <v>8</v>
      </c>
      <c r="X17" s="102">
        <v>0</v>
      </c>
      <c r="Y17" s="66" t="s">
        <v>21</v>
      </c>
      <c r="Z17" s="100" t="s">
        <v>45</v>
      </c>
      <c r="AA17" s="66" t="s">
        <v>20</v>
      </c>
      <c r="AB17" s="101">
        <v>12</v>
      </c>
      <c r="AC17" s="102">
        <v>3</v>
      </c>
      <c r="AD17" s="66" t="s">
        <v>21</v>
      </c>
      <c r="AE17" s="100" t="s">
        <v>510</v>
      </c>
      <c r="AF17" s="66" t="s">
        <v>18</v>
      </c>
      <c r="AG17" s="215" t="s">
        <v>549</v>
      </c>
      <c r="AH17" s="324"/>
      <c r="AI17" s="324"/>
      <c r="AJ17" s="324"/>
    </row>
    <row r="18" s="1" customFormat="1" ht="80.85" customHeight="1" spans="1:36">
      <c r="A18" s="90" t="s">
        <v>151</v>
      </c>
      <c r="B18" s="91" t="s">
        <v>93</v>
      </c>
      <c r="C18" s="92"/>
      <c r="D18" s="92"/>
      <c r="E18" s="92"/>
      <c r="F18" s="189"/>
      <c r="G18" s="190"/>
      <c r="H18" s="95"/>
      <c r="I18" s="95"/>
      <c r="J18" s="95"/>
      <c r="K18" s="95"/>
      <c r="L18" s="94" t="s">
        <v>28</v>
      </c>
      <c r="M18" s="196" t="s">
        <v>550</v>
      </c>
      <c r="N18" s="196"/>
      <c r="O18" s="196"/>
      <c r="P18" s="196"/>
      <c r="Q18" s="94" t="s">
        <v>28</v>
      </c>
      <c r="R18" s="346" t="s">
        <v>551</v>
      </c>
      <c r="S18" s="249"/>
      <c r="T18" s="249"/>
      <c r="U18" s="249"/>
      <c r="V18" s="94" t="s">
        <v>28</v>
      </c>
      <c r="W18" s="207" t="s">
        <v>552</v>
      </c>
      <c r="X18" s="249"/>
      <c r="Y18" s="249"/>
      <c r="Z18" s="249"/>
      <c r="AA18" s="94" t="s">
        <v>28</v>
      </c>
      <c r="AB18" s="196" t="s">
        <v>553</v>
      </c>
      <c r="AC18" s="196"/>
      <c r="AD18" s="196"/>
      <c r="AE18" s="196"/>
      <c r="AF18" s="94"/>
      <c r="AG18" s="325"/>
      <c r="AH18" s="325"/>
      <c r="AI18" s="325"/>
      <c r="AJ18" s="325"/>
    </row>
    <row r="47" spans="18:18">
      <c r="R47"/>
    </row>
  </sheetData>
  <sheetProtection selectLockedCells="1" formatCells="0" formatColumns="0" formatRows="0" insertRows="0" insertColumns="0" insertHyperlinks="0" deleteColumns="0" deleteRows="0" sort="0" autoFilter="0" pivotTables="0"/>
  <mergeCells count="86">
    <mergeCell ref="B1:C1"/>
    <mergeCell ref="D1:E1"/>
    <mergeCell ref="L1:P1"/>
    <mergeCell ref="Q1:U1"/>
    <mergeCell ref="V1:Z1"/>
    <mergeCell ref="AA1:AE1"/>
    <mergeCell ref="AF1:AJ1"/>
    <mergeCell ref="G3:K3"/>
    <mergeCell ref="L3:P3"/>
    <mergeCell ref="Q3:U3"/>
    <mergeCell ref="V3:Z3"/>
    <mergeCell ref="AA3:AE3"/>
    <mergeCell ref="AF3:AJ3"/>
    <mergeCell ref="H4:K4"/>
    <mergeCell ref="AG4:AJ4"/>
    <mergeCell ref="B6:E6"/>
    <mergeCell ref="M6:P6"/>
    <mergeCell ref="R6:U6"/>
    <mergeCell ref="W6:Z6"/>
    <mergeCell ref="AB6:AE6"/>
    <mergeCell ref="G7:K7"/>
    <mergeCell ref="L7:P7"/>
    <mergeCell ref="Q7:U7"/>
    <mergeCell ref="V7:Z7"/>
    <mergeCell ref="AA7:AE7"/>
    <mergeCell ref="AF7:AJ7"/>
    <mergeCell ref="H8:K8"/>
    <mergeCell ref="AG8:AJ8"/>
    <mergeCell ref="B10:E10"/>
    <mergeCell ref="M10:P10"/>
    <mergeCell ref="R10:U10"/>
    <mergeCell ref="W10:Z10"/>
    <mergeCell ref="AB10:AE10"/>
    <mergeCell ref="G11:K11"/>
    <mergeCell ref="L11:P11"/>
    <mergeCell ref="Q11:U11"/>
    <mergeCell ref="V11:Z11"/>
    <mergeCell ref="AA11:AE11"/>
    <mergeCell ref="AF11:AJ11"/>
    <mergeCell ref="H12:K12"/>
    <mergeCell ref="AG12:AJ12"/>
    <mergeCell ref="M14:P14"/>
    <mergeCell ref="R14:U14"/>
    <mergeCell ref="W14:Z14"/>
    <mergeCell ref="AB14:AE14"/>
    <mergeCell ref="G15:K15"/>
    <mergeCell ref="L15:P15"/>
    <mergeCell ref="Q15:U15"/>
    <mergeCell ref="V15:Z15"/>
    <mergeCell ref="AA15:AE15"/>
    <mergeCell ref="AF15:AJ15"/>
    <mergeCell ref="B16:E16"/>
    <mergeCell ref="H16:K16"/>
    <mergeCell ref="AG16:AJ16"/>
    <mergeCell ref="B17:E17"/>
    <mergeCell ref="B18:E18"/>
    <mergeCell ref="M18:P18"/>
    <mergeCell ref="R18:U18"/>
    <mergeCell ref="W18:Z18"/>
    <mergeCell ref="AB18:AE18"/>
    <mergeCell ref="A7:A9"/>
    <mergeCell ref="A12:A14"/>
    <mergeCell ref="F3:F6"/>
    <mergeCell ref="F7:F10"/>
    <mergeCell ref="F11:F14"/>
    <mergeCell ref="F15:F18"/>
    <mergeCell ref="G5:G6"/>
    <mergeCell ref="G9:G10"/>
    <mergeCell ref="G13:G14"/>
    <mergeCell ref="G17:G18"/>
    <mergeCell ref="AF5:AF6"/>
    <mergeCell ref="AF9:AF10"/>
    <mergeCell ref="AF13:AF14"/>
    <mergeCell ref="AF17:AF18"/>
    <mergeCell ref="A4:B5"/>
    <mergeCell ref="C4:E5"/>
    <mergeCell ref="H5:K6"/>
    <mergeCell ref="AG5:AJ6"/>
    <mergeCell ref="B7:E9"/>
    <mergeCell ref="H9:K10"/>
    <mergeCell ref="AG9:AJ10"/>
    <mergeCell ref="B12:E14"/>
    <mergeCell ref="AG13:AJ14"/>
    <mergeCell ref="H17:K18"/>
    <mergeCell ref="H13:K14"/>
    <mergeCell ref="AG17:AJ18"/>
  </mergeCells>
  <conditionalFormatting sqref="N12">
    <cfRule type="cellIs" dxfId="1" priority="2" operator="equal">
      <formula>0</formula>
    </cfRule>
    <cfRule type="cellIs" dxfId="0" priority="1" operator="equal">
      <formula>0</formula>
    </cfRule>
  </conditionalFormatting>
  <conditionalFormatting sqref="M4:N5 R4:S5 M8:N9 R8:S9 W4:X5 W8:X9 W16:X17 R12:S13 W12:X13 M16:N17 R16:S17">
    <cfRule type="cellIs" dxfId="1" priority="6" operator="equal">
      <formula>0</formula>
    </cfRule>
  </conditionalFormatting>
  <conditionalFormatting sqref="M4 R4 W4 AB4 AB8 W8 R8 M8 AB16 R12 W12 AB12 M16 R16 W16">
    <cfRule type="cellIs" dxfId="0" priority="3" operator="equal">
      <formula>0</formula>
    </cfRule>
  </conditionalFormatting>
  <conditionalFormatting sqref="N4 S4 X4 AC4 AC8 X8 N8 N16 S12 S8 X12 AC12 AC16 X16 S16">
    <cfRule type="cellIs" dxfId="0" priority="4" operator="equal">
      <formula>0</formula>
    </cfRule>
  </conditionalFormatting>
  <conditionalFormatting sqref="AB4:AC5 AB8:AC9 AB12:AC13 AB16:AC17">
    <cfRule type="cellIs" dxfId="1" priority="5" operator="equal">
      <formula>0</formula>
    </cfRule>
  </conditionalFormatting>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5"/>
  </sheetPr>
  <dimension ref="A1:AJ47"/>
  <sheetViews>
    <sheetView showGridLines="0" zoomScale="90" zoomScaleNormal="90" topLeftCell="K5" workbookViewId="0">
      <selection activeCell="U16" sqref="U16"/>
    </sheetView>
  </sheetViews>
  <sheetFormatPr defaultColWidth="8.89090909090909" defaultRowHeight="16.5"/>
  <cols>
    <col min="1" max="5" width="10" style="1" customWidth="1"/>
    <col min="6" max="7" width="5" style="1" customWidth="1"/>
    <col min="8" max="9" width="10" style="1" customWidth="1"/>
    <col min="10" max="10" width="4.80909090909091" style="1" customWidth="1"/>
    <col min="11" max="11" width="10" style="1" customWidth="1"/>
    <col min="12" max="12" width="5" style="1" customWidth="1"/>
    <col min="13" max="14" width="10" style="1" customWidth="1"/>
    <col min="15" max="15" width="5" style="1" customWidth="1"/>
    <col min="16" max="16" width="20" style="1" customWidth="1"/>
    <col min="17" max="17" width="5" style="1" customWidth="1"/>
    <col min="18" max="19" width="10" style="1" customWidth="1"/>
    <col min="20" max="20" width="5" style="1" customWidth="1"/>
    <col min="21" max="21" width="20" style="1" customWidth="1"/>
    <col min="22" max="22" width="5" style="1" customWidth="1"/>
    <col min="23" max="24" width="10" style="1" customWidth="1"/>
    <col min="25" max="25" width="5" style="1" customWidth="1"/>
    <col min="26" max="26" width="20" style="1" customWidth="1"/>
    <col min="27" max="27" width="5" style="1" customWidth="1"/>
    <col min="28" max="29" width="10" style="1" customWidth="1"/>
    <col min="30" max="30" width="5" style="1" customWidth="1"/>
    <col min="31" max="31" width="20" style="1" customWidth="1"/>
    <col min="32" max="32" width="5" style="1" customWidth="1"/>
    <col min="33" max="36" width="10" style="1" customWidth="1"/>
    <col min="37" max="16384" width="8.89090909090909" style="1"/>
  </cols>
  <sheetData>
    <row r="1" s="1" customFormat="1" ht="60" customHeight="1" spans="1:36">
      <c r="A1" s="174" t="str">
        <f>_xlfn.DISPIMG("ID_B8866FF8443B4D5096579B7AE4F8D3EB",1)</f>
        <v>=DISPIMG("ID_B8866FF8443B4D5096579B7AE4F8D3EB",1)</v>
      </c>
      <c r="B1" s="54" t="s">
        <v>345</v>
      </c>
      <c r="C1" s="54"/>
      <c r="D1" s="175" t="s">
        <v>346</v>
      </c>
      <c r="E1" s="176"/>
      <c r="F1" s="5"/>
      <c r="L1" s="109"/>
      <c r="M1" s="5"/>
      <c r="N1" s="5"/>
      <c r="O1" s="5"/>
      <c r="P1" s="5"/>
      <c r="Q1" s="109"/>
      <c r="R1" s="5"/>
      <c r="S1" s="5"/>
      <c r="T1" s="5"/>
      <c r="U1" s="5"/>
      <c r="V1" s="109"/>
      <c r="W1" s="5"/>
      <c r="X1" s="5"/>
      <c r="Y1" s="5"/>
      <c r="Z1" s="5"/>
      <c r="AA1" s="109"/>
      <c r="AB1" s="5"/>
      <c r="AC1" s="5"/>
      <c r="AD1" s="5"/>
      <c r="AE1" s="5"/>
      <c r="AF1" s="205" t="s">
        <v>227</v>
      </c>
      <c r="AG1" s="208"/>
      <c r="AH1" s="208"/>
      <c r="AI1" s="208"/>
      <c r="AJ1" s="208"/>
    </row>
    <row r="2" s="1" customFormat="1" ht="15" customHeight="1" spans="1:36">
      <c r="A2" s="58"/>
      <c r="B2" s="58"/>
      <c r="C2" s="58"/>
      <c r="D2" s="58"/>
      <c r="E2" s="58"/>
      <c r="F2" s="177"/>
      <c r="G2" s="177"/>
      <c r="H2" s="177"/>
      <c r="I2" s="177"/>
      <c r="J2" s="177"/>
      <c r="K2" s="177"/>
      <c r="L2" s="192"/>
      <c r="M2" s="192"/>
      <c r="N2" s="192"/>
      <c r="O2" s="192"/>
      <c r="P2" s="192"/>
      <c r="Q2" s="192"/>
      <c r="R2" s="192"/>
      <c r="S2" s="192"/>
      <c r="T2" s="192"/>
      <c r="U2" s="192"/>
      <c r="V2" s="192"/>
      <c r="W2" s="192"/>
      <c r="X2" s="192"/>
      <c r="Y2" s="192"/>
      <c r="Z2" s="192"/>
      <c r="AA2" s="192"/>
      <c r="AB2" s="192"/>
      <c r="AC2" s="192"/>
      <c r="AD2" s="192"/>
      <c r="AE2" s="192"/>
      <c r="AF2" s="206"/>
      <c r="AG2" s="206"/>
      <c r="AH2" s="206"/>
      <c r="AI2" s="206"/>
      <c r="AJ2" s="209"/>
    </row>
    <row r="3" s="1" customFormat="1" ht="20" customHeight="1" spans="1:36">
      <c r="A3" s="58"/>
      <c r="B3" s="58"/>
      <c r="C3" s="58"/>
      <c r="D3" s="58"/>
      <c r="E3" s="58"/>
      <c r="F3" s="178" t="s">
        <v>3</v>
      </c>
      <c r="G3" s="179" t="s">
        <v>4</v>
      </c>
      <c r="H3" s="61"/>
      <c r="I3" s="61"/>
      <c r="J3" s="61"/>
      <c r="K3" s="61"/>
      <c r="L3" s="106" t="s">
        <v>554</v>
      </c>
      <c r="M3" s="61"/>
      <c r="N3" s="61"/>
      <c r="O3" s="61"/>
      <c r="P3" s="61"/>
      <c r="Q3" s="106" t="s">
        <v>555</v>
      </c>
      <c r="R3" s="61"/>
      <c r="S3" s="61"/>
      <c r="T3" s="61"/>
      <c r="U3" s="61"/>
      <c r="V3" s="106" t="s">
        <v>556</v>
      </c>
      <c r="W3" s="61"/>
      <c r="X3" s="61"/>
      <c r="Y3" s="61"/>
      <c r="Z3" s="61"/>
      <c r="AA3" s="106" t="s">
        <v>557</v>
      </c>
      <c r="AB3" s="61"/>
      <c r="AC3" s="61"/>
      <c r="AD3" s="61"/>
      <c r="AE3" s="61"/>
      <c r="AF3" s="61" t="s">
        <v>9</v>
      </c>
      <c r="AG3" s="61"/>
      <c r="AH3" s="61"/>
      <c r="AI3" s="61"/>
      <c r="AJ3" s="115"/>
    </row>
    <row r="4" s="1" customFormat="1" ht="60" customHeight="1" spans="1:36">
      <c r="A4" s="62" t="str">
        <f>_xlfn.DISPIMG("ID_ED13969E3317402EB68C63AA85FB9EA6",1)</f>
        <v>=DISPIMG("ID_ED13969E3317402EB68C63AA85FB9EA6",1)</v>
      </c>
      <c r="B4" s="62"/>
      <c r="C4" s="63" t="s">
        <v>558</v>
      </c>
      <c r="D4" s="64"/>
      <c r="E4" s="64"/>
      <c r="F4" s="180"/>
      <c r="G4" s="181" t="s">
        <v>11</v>
      </c>
      <c r="H4" s="316" t="s">
        <v>559</v>
      </c>
      <c r="I4" s="316"/>
      <c r="J4" s="316"/>
      <c r="K4" s="316"/>
      <c r="L4" s="66" t="s">
        <v>13</v>
      </c>
      <c r="M4" s="98">
        <v>1</v>
      </c>
      <c r="N4" s="99">
        <v>1</v>
      </c>
      <c r="O4" s="66" t="s">
        <v>14</v>
      </c>
      <c r="P4" s="100" t="s">
        <v>45</v>
      </c>
      <c r="Q4" s="66" t="s">
        <v>13</v>
      </c>
      <c r="R4" s="98">
        <v>2</v>
      </c>
      <c r="S4" s="99">
        <v>0</v>
      </c>
      <c r="T4" s="66" t="s">
        <v>14</v>
      </c>
      <c r="U4" s="100" t="str">
        <f>_xlfn.DISPIMG("ID_6A9F183EC8474DDA8BC98EAAA4BF5135",1)</f>
        <v>=DISPIMG("ID_6A9F183EC8474DDA8BC98EAAA4BF5135",1)</v>
      </c>
      <c r="V4" s="66" t="s">
        <v>13</v>
      </c>
      <c r="W4" s="98">
        <v>0</v>
      </c>
      <c r="X4" s="99">
        <v>1</v>
      </c>
      <c r="Y4" s="66" t="s">
        <v>14</v>
      </c>
      <c r="Z4" s="100" t="s">
        <v>44</v>
      </c>
      <c r="AA4" s="66" t="s">
        <v>13</v>
      </c>
      <c r="AB4" s="98">
        <v>0</v>
      </c>
      <c r="AC4" s="99">
        <v>1</v>
      </c>
      <c r="AD4" s="66" t="s">
        <v>14</v>
      </c>
      <c r="AE4" s="100" t="s">
        <v>45</v>
      </c>
      <c r="AF4" s="66" t="s">
        <v>16</v>
      </c>
      <c r="AG4" s="88" t="s">
        <v>560</v>
      </c>
      <c r="AH4" s="88"/>
      <c r="AI4" s="88"/>
      <c r="AJ4" s="210"/>
    </row>
    <row r="5" s="1" customFormat="1" ht="60" customHeight="1" spans="1:36">
      <c r="A5" s="62"/>
      <c r="B5" s="62"/>
      <c r="C5" s="64"/>
      <c r="D5" s="64"/>
      <c r="E5" s="64"/>
      <c r="F5" s="180"/>
      <c r="G5" s="181" t="s">
        <v>18</v>
      </c>
      <c r="H5" s="317" t="s">
        <v>561</v>
      </c>
      <c r="I5" s="317"/>
      <c r="J5" s="317"/>
      <c r="K5" s="317"/>
      <c r="L5" s="66" t="s">
        <v>20</v>
      </c>
      <c r="M5" s="101">
        <v>0</v>
      </c>
      <c r="N5" s="102">
        <v>0</v>
      </c>
      <c r="O5" s="66" t="s">
        <v>21</v>
      </c>
      <c r="P5" s="100" t="s">
        <v>45</v>
      </c>
      <c r="Q5" s="66" t="s">
        <v>20</v>
      </c>
      <c r="R5" s="101">
        <v>4</v>
      </c>
      <c r="S5" s="102">
        <v>0</v>
      </c>
      <c r="T5" s="66" t="s">
        <v>21</v>
      </c>
      <c r="U5" s="100" t="s">
        <v>23</v>
      </c>
      <c r="V5" s="66" t="s">
        <v>20</v>
      </c>
      <c r="W5" s="101">
        <v>1</v>
      </c>
      <c r="X5" s="102">
        <v>0</v>
      </c>
      <c r="Y5" s="66" t="s">
        <v>21</v>
      </c>
      <c r="Z5" s="100" t="s">
        <v>562</v>
      </c>
      <c r="AA5" s="66" t="s">
        <v>20</v>
      </c>
      <c r="AB5" s="101">
        <v>4</v>
      </c>
      <c r="AC5" s="102">
        <v>1</v>
      </c>
      <c r="AD5" s="66" t="s">
        <v>21</v>
      </c>
      <c r="AE5" s="100" t="s">
        <v>45</v>
      </c>
      <c r="AF5" s="66" t="s">
        <v>24</v>
      </c>
      <c r="AG5" s="89" t="s">
        <v>563</v>
      </c>
      <c r="AH5" s="89"/>
      <c r="AI5" s="89"/>
      <c r="AJ5" s="211"/>
    </row>
    <row r="6" s="1" customFormat="1" ht="60" customHeight="1" spans="1:36">
      <c r="A6" s="69" t="s">
        <v>26</v>
      </c>
      <c r="B6" s="70" t="s">
        <v>564</v>
      </c>
      <c r="C6" s="71"/>
      <c r="D6" s="71"/>
      <c r="E6" s="71"/>
      <c r="F6" s="182"/>
      <c r="G6" s="183"/>
      <c r="H6" s="318"/>
      <c r="I6" s="318"/>
      <c r="J6" s="318"/>
      <c r="K6" s="318"/>
      <c r="L6" s="193" t="s">
        <v>28</v>
      </c>
      <c r="M6" s="199" t="s">
        <v>565</v>
      </c>
      <c r="N6" s="248"/>
      <c r="O6" s="248"/>
      <c r="P6" s="248"/>
      <c r="Q6" s="193" t="s">
        <v>28</v>
      </c>
      <c r="R6" s="194" t="s">
        <v>566</v>
      </c>
      <c r="S6" s="248"/>
      <c r="T6" s="248"/>
      <c r="U6" s="248"/>
      <c r="V6" s="193" t="s">
        <v>28</v>
      </c>
      <c r="W6" s="328" t="s">
        <v>567</v>
      </c>
      <c r="X6" s="265"/>
      <c r="Y6" s="265"/>
      <c r="Z6" s="265"/>
      <c r="AA6" s="193" t="s">
        <v>28</v>
      </c>
      <c r="AB6" s="333" t="s">
        <v>568</v>
      </c>
      <c r="AC6" s="248"/>
      <c r="AD6" s="248"/>
      <c r="AE6" s="248"/>
      <c r="AF6" s="193"/>
      <c r="AG6" s="212"/>
      <c r="AH6" s="212"/>
      <c r="AI6" s="212"/>
      <c r="AJ6" s="213"/>
    </row>
    <row r="7" s="1" customFormat="1" ht="20" customHeight="1" spans="1:36">
      <c r="A7" s="69" t="s">
        <v>33</v>
      </c>
      <c r="B7" s="72" t="s">
        <v>569</v>
      </c>
      <c r="C7" s="72"/>
      <c r="D7" s="72"/>
      <c r="E7" s="72"/>
      <c r="F7" s="180" t="s">
        <v>35</v>
      </c>
      <c r="G7" s="179" t="s">
        <v>36</v>
      </c>
      <c r="H7" s="61"/>
      <c r="I7" s="61"/>
      <c r="J7" s="61"/>
      <c r="K7" s="61"/>
      <c r="L7" s="106" t="s">
        <v>570</v>
      </c>
      <c r="M7" s="61"/>
      <c r="N7" s="61"/>
      <c r="O7" s="61"/>
      <c r="P7" s="61"/>
      <c r="Q7" s="106" t="s">
        <v>571</v>
      </c>
      <c r="R7" s="61"/>
      <c r="S7" s="61"/>
      <c r="T7" s="61"/>
      <c r="U7" s="61"/>
      <c r="V7" s="106" t="s">
        <v>572</v>
      </c>
      <c r="W7" s="61"/>
      <c r="X7" s="61"/>
      <c r="Y7" s="61"/>
      <c r="Z7" s="61"/>
      <c r="AA7" s="106" t="s">
        <v>573</v>
      </c>
      <c r="AB7" s="61"/>
      <c r="AC7" s="61"/>
      <c r="AD7" s="61"/>
      <c r="AE7" s="61"/>
      <c r="AF7" s="61" t="s">
        <v>41</v>
      </c>
      <c r="AG7" s="61"/>
      <c r="AH7" s="61"/>
      <c r="AI7" s="61"/>
      <c r="AJ7" s="115"/>
    </row>
    <row r="8" s="1" customFormat="1" ht="60" customHeight="1" spans="1:36">
      <c r="A8" s="69"/>
      <c r="B8" s="72"/>
      <c r="C8" s="72"/>
      <c r="D8" s="72"/>
      <c r="E8" s="72"/>
      <c r="F8" s="180"/>
      <c r="G8" s="181" t="s">
        <v>11</v>
      </c>
      <c r="H8" s="74" t="s">
        <v>574</v>
      </c>
      <c r="I8" s="74"/>
      <c r="J8" s="74"/>
      <c r="K8" s="74"/>
      <c r="L8" s="66" t="s">
        <v>13</v>
      </c>
      <c r="M8" s="292">
        <v>1</v>
      </c>
      <c r="N8" s="99">
        <v>0</v>
      </c>
      <c r="O8" s="66" t="s">
        <v>14</v>
      </c>
      <c r="P8" s="100" t="s">
        <v>44</v>
      </c>
      <c r="Q8" s="66" t="s">
        <v>13</v>
      </c>
      <c r="R8" s="98">
        <v>2</v>
      </c>
      <c r="S8" s="99">
        <v>0</v>
      </c>
      <c r="T8" s="66" t="s">
        <v>14</v>
      </c>
      <c r="U8" s="100" t="str">
        <f>_xlfn.DISPIMG("ID_4FD3C9423D214817A8B8D9C7D8ECB3ED",1)</f>
        <v>=DISPIMG("ID_4FD3C9423D214817A8B8D9C7D8ECB3ED",1)</v>
      </c>
      <c r="V8" s="66" t="s">
        <v>13</v>
      </c>
      <c r="W8" s="98">
        <v>1</v>
      </c>
      <c r="X8" s="99">
        <v>0</v>
      </c>
      <c r="Y8" s="66" t="s">
        <v>14</v>
      </c>
      <c r="Z8" s="100" t="s">
        <v>45</v>
      </c>
      <c r="AA8" s="66" t="s">
        <v>13</v>
      </c>
      <c r="AB8" s="292">
        <v>1</v>
      </c>
      <c r="AC8" s="99">
        <v>0</v>
      </c>
      <c r="AD8" s="66" t="s">
        <v>14</v>
      </c>
      <c r="AE8" s="100" t="s">
        <v>44</v>
      </c>
      <c r="AF8" s="66" t="s">
        <v>16</v>
      </c>
      <c r="AG8" s="334" t="s">
        <v>575</v>
      </c>
      <c r="AH8" s="334"/>
      <c r="AI8" s="334"/>
      <c r="AJ8" s="334"/>
    </row>
    <row r="9" s="1" customFormat="1" ht="60" customHeight="1" spans="1:36">
      <c r="A9" s="69"/>
      <c r="B9" s="72"/>
      <c r="C9" s="72"/>
      <c r="D9" s="72"/>
      <c r="E9" s="72"/>
      <c r="F9" s="180"/>
      <c r="G9" s="181" t="s">
        <v>18</v>
      </c>
      <c r="H9" s="75" t="s">
        <v>576</v>
      </c>
      <c r="I9" s="75"/>
      <c r="J9" s="75"/>
      <c r="K9" s="75"/>
      <c r="L9" s="66" t="s">
        <v>20</v>
      </c>
      <c r="M9" s="101">
        <v>3</v>
      </c>
      <c r="N9" s="102">
        <v>0</v>
      </c>
      <c r="O9" s="66" t="s">
        <v>21</v>
      </c>
      <c r="P9" s="100" t="s">
        <v>22</v>
      </c>
      <c r="Q9" s="66" t="s">
        <v>20</v>
      </c>
      <c r="R9" s="101">
        <v>2</v>
      </c>
      <c r="S9" s="102">
        <v>0</v>
      </c>
      <c r="T9" s="66" t="s">
        <v>21</v>
      </c>
      <c r="U9" s="100" t="s">
        <v>23</v>
      </c>
      <c r="V9" s="66" t="s">
        <v>20</v>
      </c>
      <c r="W9" s="101">
        <v>1</v>
      </c>
      <c r="X9" s="102">
        <v>0</v>
      </c>
      <c r="Y9" s="66" t="s">
        <v>21</v>
      </c>
      <c r="Z9" s="100" t="s">
        <v>45</v>
      </c>
      <c r="AA9" s="66" t="s">
        <v>20</v>
      </c>
      <c r="AB9" s="293">
        <v>7</v>
      </c>
      <c r="AC9" s="102">
        <v>1</v>
      </c>
      <c r="AD9" s="66" t="s">
        <v>21</v>
      </c>
      <c r="AE9" s="100" t="s">
        <v>22</v>
      </c>
      <c r="AF9" s="66" t="s">
        <v>24</v>
      </c>
      <c r="AG9" s="335" t="s">
        <v>577</v>
      </c>
      <c r="AH9" s="51"/>
      <c r="AI9" s="51"/>
      <c r="AJ9" s="51"/>
    </row>
    <row r="10" s="1" customFormat="1" ht="60" customHeight="1" spans="1:36">
      <c r="A10" s="69" t="s">
        <v>49</v>
      </c>
      <c r="B10" s="319" t="s">
        <v>578</v>
      </c>
      <c r="C10" s="320"/>
      <c r="D10" s="320"/>
      <c r="E10" s="320"/>
      <c r="F10" s="180"/>
      <c r="G10" s="183"/>
      <c r="H10" s="321"/>
      <c r="I10" s="321"/>
      <c r="J10" s="321"/>
      <c r="K10" s="321"/>
      <c r="L10" s="193" t="s">
        <v>28</v>
      </c>
      <c r="M10" s="194" t="s">
        <v>579</v>
      </c>
      <c r="N10" s="194"/>
      <c r="O10" s="194"/>
      <c r="P10" s="194"/>
      <c r="Q10" s="193" t="s">
        <v>28</v>
      </c>
      <c r="R10" s="200" t="s">
        <v>580</v>
      </c>
      <c r="S10" s="229"/>
      <c r="T10" s="229"/>
      <c r="U10" s="229"/>
      <c r="V10" s="193" t="s">
        <v>28</v>
      </c>
      <c r="W10" s="329" t="s">
        <v>581</v>
      </c>
      <c r="X10" s="229"/>
      <c r="Y10" s="229"/>
      <c r="Z10" s="229"/>
      <c r="AA10" s="193" t="s">
        <v>28</v>
      </c>
      <c r="AB10" s="234" t="s">
        <v>582</v>
      </c>
      <c r="AC10" s="330"/>
      <c r="AD10" s="330"/>
      <c r="AE10" s="330"/>
      <c r="AF10" s="193"/>
      <c r="AG10" s="304"/>
      <c r="AH10" s="304"/>
      <c r="AI10" s="304"/>
      <c r="AJ10" s="304"/>
    </row>
    <row r="11" s="1" customFormat="1" ht="20" customHeight="1" spans="1:36">
      <c r="A11" s="78"/>
      <c r="B11" s="78"/>
      <c r="C11" s="78"/>
      <c r="D11" s="78"/>
      <c r="E11" s="78"/>
      <c r="F11" s="186" t="s">
        <v>55</v>
      </c>
      <c r="G11" s="179" t="s">
        <v>56</v>
      </c>
      <c r="H11" s="61"/>
      <c r="I11" s="61"/>
      <c r="J11" s="61"/>
      <c r="K11" s="61"/>
      <c r="L11" s="106" t="s">
        <v>583</v>
      </c>
      <c r="M11" s="61"/>
      <c r="N11" s="61"/>
      <c r="O11" s="61"/>
      <c r="P11" s="61"/>
      <c r="Q11" s="106" t="s">
        <v>584</v>
      </c>
      <c r="R11" s="61"/>
      <c r="S11" s="61"/>
      <c r="T11" s="61"/>
      <c r="U11" s="61"/>
      <c r="V11" s="106" t="s">
        <v>585</v>
      </c>
      <c r="W11" s="61"/>
      <c r="X11" s="61"/>
      <c r="Y11" s="61"/>
      <c r="Z11" s="61"/>
      <c r="AA11" s="106" t="s">
        <v>586</v>
      </c>
      <c r="AB11" s="61"/>
      <c r="AC11" s="61"/>
      <c r="AD11" s="61"/>
      <c r="AE11" s="61"/>
      <c r="AF11" s="61" t="s">
        <v>61</v>
      </c>
      <c r="AG11" s="61"/>
      <c r="AH11" s="61"/>
      <c r="AI11" s="61"/>
      <c r="AJ11" s="115"/>
    </row>
    <row r="12" s="1" customFormat="1" ht="60" customHeight="1" spans="1:36">
      <c r="A12" s="79" t="s">
        <v>62</v>
      </c>
      <c r="B12" s="80" t="str">
        <f>_xlfn.DISPIMG("ID_309279356856475B8C5FCA829701C705",1)</f>
        <v>=DISPIMG("ID_309279356856475B8C5FCA829701C705",1)</v>
      </c>
      <c r="C12" s="80"/>
      <c r="D12" s="80"/>
      <c r="E12" s="80"/>
      <c r="F12" s="180"/>
      <c r="G12" s="181" t="s">
        <v>11</v>
      </c>
      <c r="H12" s="316" t="s">
        <v>587</v>
      </c>
      <c r="I12" s="316"/>
      <c r="J12" s="316"/>
      <c r="K12" s="316"/>
      <c r="L12" s="66" t="s">
        <v>13</v>
      </c>
      <c r="M12" s="98">
        <v>1</v>
      </c>
      <c r="N12" s="99">
        <v>0</v>
      </c>
      <c r="O12" s="66" t="s">
        <v>14</v>
      </c>
      <c r="P12" s="100" t="str">
        <f>_xlfn.DISPIMG("ID_D169DEFBE5134767AD7E40349F61D876",1)</f>
        <v>=DISPIMG("ID_D169DEFBE5134767AD7E40349F61D876",1)</v>
      </c>
      <c r="Q12" s="66" t="s">
        <v>13</v>
      </c>
      <c r="R12" s="292">
        <v>0</v>
      </c>
      <c r="S12" s="99">
        <v>0</v>
      </c>
      <c r="T12" s="66" t="s">
        <v>14</v>
      </c>
      <c r="U12" s="100"/>
      <c r="V12" s="66" t="s">
        <v>13</v>
      </c>
      <c r="W12" s="98">
        <v>1</v>
      </c>
      <c r="X12" s="99">
        <v>1</v>
      </c>
      <c r="Y12" s="66" t="s">
        <v>14</v>
      </c>
      <c r="Z12" s="100" t="s">
        <v>45</v>
      </c>
      <c r="AA12" s="66" t="s">
        <v>13</v>
      </c>
      <c r="AB12" s="98">
        <v>0</v>
      </c>
      <c r="AC12" s="99">
        <v>0</v>
      </c>
      <c r="AD12" s="66" t="s">
        <v>14</v>
      </c>
      <c r="AE12" s="100" t="s">
        <v>45</v>
      </c>
      <c r="AF12" s="66" t="s">
        <v>16</v>
      </c>
      <c r="AG12" s="288" t="s">
        <v>588</v>
      </c>
      <c r="AH12" s="288"/>
      <c r="AI12" s="288"/>
      <c r="AJ12" s="294"/>
    </row>
    <row r="13" s="1" customFormat="1" ht="60" customHeight="1" spans="1:36">
      <c r="A13" s="82"/>
      <c r="B13" s="80"/>
      <c r="C13" s="80"/>
      <c r="D13" s="80"/>
      <c r="E13" s="80"/>
      <c r="F13" s="180"/>
      <c r="G13" s="181" t="s">
        <v>18</v>
      </c>
      <c r="H13" s="322" t="s">
        <v>589</v>
      </c>
      <c r="I13" s="322"/>
      <c r="J13" s="322"/>
      <c r="K13" s="322"/>
      <c r="L13" s="66" t="s">
        <v>20</v>
      </c>
      <c r="M13" s="101">
        <v>3</v>
      </c>
      <c r="N13" s="102">
        <v>0</v>
      </c>
      <c r="O13" s="66" t="s">
        <v>21</v>
      </c>
      <c r="P13" s="100" t="s">
        <v>590</v>
      </c>
      <c r="Q13" s="66" t="s">
        <v>20</v>
      </c>
      <c r="R13" s="293">
        <v>0</v>
      </c>
      <c r="S13" s="102">
        <v>1</v>
      </c>
      <c r="T13" s="66" t="s">
        <v>21</v>
      </c>
      <c r="U13" s="100"/>
      <c r="V13" s="66" t="s">
        <v>20</v>
      </c>
      <c r="W13" s="101">
        <v>4</v>
      </c>
      <c r="X13" s="102">
        <v>0</v>
      </c>
      <c r="Y13" s="66" t="s">
        <v>21</v>
      </c>
      <c r="Z13" s="100" t="s">
        <v>45</v>
      </c>
      <c r="AA13" s="66" t="s">
        <v>20</v>
      </c>
      <c r="AB13" s="293">
        <v>0</v>
      </c>
      <c r="AC13" s="102">
        <v>1</v>
      </c>
      <c r="AD13" s="66" t="s">
        <v>21</v>
      </c>
      <c r="AE13" s="100" t="s">
        <v>45</v>
      </c>
      <c r="AF13" s="66" t="s">
        <v>24</v>
      </c>
      <c r="AG13" s="336" t="s">
        <v>591</v>
      </c>
      <c r="AH13" s="336"/>
      <c r="AI13" s="336"/>
      <c r="AJ13" s="337"/>
    </row>
    <row r="14" s="1" customFormat="1" ht="60" customHeight="1" spans="1:36">
      <c r="A14" s="82"/>
      <c r="B14" s="80"/>
      <c r="C14" s="80"/>
      <c r="D14" s="80"/>
      <c r="E14" s="80"/>
      <c r="F14" s="182"/>
      <c r="G14" s="183"/>
      <c r="H14" s="323"/>
      <c r="I14" s="323"/>
      <c r="J14" s="323"/>
      <c r="K14" s="323"/>
      <c r="L14" s="193" t="s">
        <v>28</v>
      </c>
      <c r="M14" s="195" t="s">
        <v>592</v>
      </c>
      <c r="N14" s="194"/>
      <c r="O14" s="194"/>
      <c r="P14" s="194"/>
      <c r="Q14" s="193" t="s">
        <v>28</v>
      </c>
      <c r="R14" s="234" t="s">
        <v>593</v>
      </c>
      <c r="S14" s="330"/>
      <c r="T14" s="330"/>
      <c r="U14" s="330"/>
      <c r="V14" s="193" t="s">
        <v>28</v>
      </c>
      <c r="W14" s="329" t="s">
        <v>594</v>
      </c>
      <c r="X14" s="329"/>
      <c r="Y14" s="329"/>
      <c r="Z14" s="329"/>
      <c r="AA14" s="193" t="s">
        <v>28</v>
      </c>
      <c r="AB14" s="330" t="s">
        <v>595</v>
      </c>
      <c r="AC14" s="330"/>
      <c r="AD14" s="330"/>
      <c r="AE14" s="330"/>
      <c r="AF14" s="193"/>
      <c r="AG14" s="338"/>
      <c r="AH14" s="338"/>
      <c r="AI14" s="338"/>
      <c r="AJ14" s="339"/>
    </row>
    <row r="15" s="1" customFormat="1" ht="20" customHeight="1" spans="1:36">
      <c r="A15" s="83"/>
      <c r="B15" s="83"/>
      <c r="C15" s="83"/>
      <c r="D15" s="83"/>
      <c r="E15" s="83"/>
      <c r="F15" s="180" t="s">
        <v>77</v>
      </c>
      <c r="G15" s="61" t="s">
        <v>78</v>
      </c>
      <c r="H15" s="61"/>
      <c r="I15" s="61"/>
      <c r="J15" s="61"/>
      <c r="K15" s="115"/>
      <c r="L15" s="61" t="s">
        <v>596</v>
      </c>
      <c r="M15" s="61"/>
      <c r="N15" s="61"/>
      <c r="O15" s="61"/>
      <c r="P15" s="61"/>
      <c r="Q15" s="106" t="s">
        <v>597</v>
      </c>
      <c r="R15" s="61"/>
      <c r="S15" s="61"/>
      <c r="T15" s="61"/>
      <c r="U15" s="61"/>
      <c r="V15" s="61" t="s">
        <v>598</v>
      </c>
      <c r="W15" s="61"/>
      <c r="X15" s="61"/>
      <c r="Y15" s="61"/>
      <c r="Z15" s="61"/>
      <c r="AA15" s="106" t="s">
        <v>599</v>
      </c>
      <c r="AB15" s="61"/>
      <c r="AC15" s="61"/>
      <c r="AD15" s="61"/>
      <c r="AE15" s="61"/>
      <c r="AF15" s="61" t="s">
        <v>78</v>
      </c>
      <c r="AG15" s="61"/>
      <c r="AH15" s="61"/>
      <c r="AI15" s="61"/>
      <c r="AJ15" s="115"/>
    </row>
    <row r="16" s="1" customFormat="1" ht="60" customHeight="1" spans="1:36">
      <c r="A16" s="85" t="s">
        <v>83</v>
      </c>
      <c r="B16" s="86" t="s">
        <v>84</v>
      </c>
      <c r="C16" s="87"/>
      <c r="D16" s="87"/>
      <c r="E16" s="87"/>
      <c r="F16" s="180"/>
      <c r="G16" s="66" t="s">
        <v>11</v>
      </c>
      <c r="H16" s="288" t="s">
        <v>600</v>
      </c>
      <c r="I16" s="288"/>
      <c r="J16" s="288"/>
      <c r="K16" s="294"/>
      <c r="L16" s="66" t="s">
        <v>13</v>
      </c>
      <c r="M16" s="98">
        <v>1</v>
      </c>
      <c r="N16" s="99">
        <v>1</v>
      </c>
      <c r="O16" s="66" t="s">
        <v>14</v>
      </c>
      <c r="P16" s="100" t="str">
        <f>_xlfn.DISPIMG("ID_D169DEFBE5134767AD7E40349F61D876",1)</f>
        <v>=DISPIMG("ID_D169DEFBE5134767AD7E40349F61D876",1)</v>
      </c>
      <c r="Q16" s="66" t="s">
        <v>13</v>
      </c>
      <c r="R16" s="98">
        <v>0</v>
      </c>
      <c r="S16" s="99">
        <v>0</v>
      </c>
      <c r="T16" s="66" t="s">
        <v>14</v>
      </c>
      <c r="U16" s="100" t="s">
        <v>45</v>
      </c>
      <c r="V16" s="66" t="s">
        <v>13</v>
      </c>
      <c r="W16" s="98">
        <v>0</v>
      </c>
      <c r="X16" s="99">
        <v>0</v>
      </c>
      <c r="Y16" s="66" t="s">
        <v>14</v>
      </c>
      <c r="Z16" s="100" t="s">
        <v>45</v>
      </c>
      <c r="AA16" s="66" t="s">
        <v>13</v>
      </c>
      <c r="AB16" s="98">
        <v>3</v>
      </c>
      <c r="AC16" s="99">
        <v>0</v>
      </c>
      <c r="AD16" s="66" t="s">
        <v>14</v>
      </c>
      <c r="AE16" s="100" t="str">
        <f>_xlfn.DISPIMG("ID_A7B09E412A8D4F3AA443B6DD0FFE9986",1)</f>
        <v>=DISPIMG("ID_A7B09E412A8D4F3AA443B6DD0FFE9986",1)</v>
      </c>
      <c r="AF16" s="66" t="s">
        <v>11</v>
      </c>
      <c r="AG16" s="88" t="s">
        <v>601</v>
      </c>
      <c r="AH16" s="88"/>
      <c r="AI16" s="88"/>
      <c r="AJ16" s="210"/>
    </row>
    <row r="17" s="1" customFormat="1" ht="60" customHeight="1" spans="1:36">
      <c r="A17" s="85" t="s">
        <v>87</v>
      </c>
      <c r="B17" s="86" t="s">
        <v>88</v>
      </c>
      <c r="C17" s="87"/>
      <c r="D17" s="87"/>
      <c r="E17" s="87"/>
      <c r="F17" s="180"/>
      <c r="G17" s="66" t="s">
        <v>18</v>
      </c>
      <c r="H17" s="324" t="s">
        <v>602</v>
      </c>
      <c r="I17" s="324"/>
      <c r="J17" s="324"/>
      <c r="K17" s="326"/>
      <c r="L17" s="66" t="s">
        <v>20</v>
      </c>
      <c r="M17" s="101">
        <v>9</v>
      </c>
      <c r="N17" s="102">
        <v>0</v>
      </c>
      <c r="O17" s="66" t="s">
        <v>21</v>
      </c>
      <c r="P17" s="100" t="s">
        <v>23</v>
      </c>
      <c r="Q17" s="66" t="s">
        <v>20</v>
      </c>
      <c r="R17" s="293">
        <v>3</v>
      </c>
      <c r="S17" s="102">
        <v>0</v>
      </c>
      <c r="T17" s="66" t="s">
        <v>21</v>
      </c>
      <c r="U17" s="100" t="s">
        <v>45</v>
      </c>
      <c r="V17" s="66" t="s">
        <v>20</v>
      </c>
      <c r="W17" s="101">
        <v>3</v>
      </c>
      <c r="X17" s="102">
        <v>0</v>
      </c>
      <c r="Y17" s="66" t="s">
        <v>21</v>
      </c>
      <c r="Z17" s="100" t="s">
        <v>45</v>
      </c>
      <c r="AA17" s="66" t="s">
        <v>20</v>
      </c>
      <c r="AB17" s="101">
        <v>10</v>
      </c>
      <c r="AC17" s="102">
        <v>2</v>
      </c>
      <c r="AD17" s="66" t="s">
        <v>21</v>
      </c>
      <c r="AE17" s="100" t="s">
        <v>23</v>
      </c>
      <c r="AF17" s="66" t="s">
        <v>18</v>
      </c>
      <c r="AG17" s="89" t="s">
        <v>603</v>
      </c>
      <c r="AH17" s="89"/>
      <c r="AI17" s="89"/>
      <c r="AJ17" s="211"/>
    </row>
    <row r="18" s="1" customFormat="1" ht="73.35" customHeight="1" spans="1:36">
      <c r="A18" s="90" t="s">
        <v>151</v>
      </c>
      <c r="B18" s="91" t="s">
        <v>604</v>
      </c>
      <c r="C18" s="92"/>
      <c r="D18" s="92"/>
      <c r="E18" s="92"/>
      <c r="F18" s="189"/>
      <c r="G18" s="94"/>
      <c r="H18" s="325"/>
      <c r="I18" s="325"/>
      <c r="J18" s="325"/>
      <c r="K18" s="327"/>
      <c r="L18" s="94" t="s">
        <v>28</v>
      </c>
      <c r="M18" s="207" t="s">
        <v>605</v>
      </c>
      <c r="N18" s="196"/>
      <c r="O18" s="196"/>
      <c r="P18" s="196"/>
      <c r="Q18" s="94" t="s">
        <v>28</v>
      </c>
      <c r="R18" s="331" t="s">
        <v>606</v>
      </c>
      <c r="S18" s="331"/>
      <c r="T18" s="331"/>
      <c r="U18" s="331"/>
      <c r="V18" s="94" t="s">
        <v>28</v>
      </c>
      <c r="W18" s="332" t="s">
        <v>607</v>
      </c>
      <c r="X18" s="332"/>
      <c r="Y18" s="332"/>
      <c r="Z18" s="332"/>
      <c r="AA18" s="94" t="s">
        <v>28</v>
      </c>
      <c r="AB18" s="196" t="s">
        <v>608</v>
      </c>
      <c r="AC18" s="196"/>
      <c r="AD18" s="196"/>
      <c r="AE18" s="196"/>
      <c r="AF18" s="94"/>
      <c r="AG18" s="95"/>
      <c r="AH18" s="95"/>
      <c r="AI18" s="95"/>
      <c r="AJ18" s="219"/>
    </row>
    <row r="47" spans="18:18">
      <c r="R47"/>
    </row>
  </sheetData>
  <sheetProtection selectLockedCells="1" formatCells="0" formatColumns="0" formatRows="0" insertRows="0" insertColumns="0" insertHyperlinks="0" deleteColumns="0" deleteRows="0" sort="0" autoFilter="0" pivotTables="0"/>
  <mergeCells count="86">
    <mergeCell ref="B1:C1"/>
    <mergeCell ref="D1:E1"/>
    <mergeCell ref="L1:P1"/>
    <mergeCell ref="Q1:U1"/>
    <mergeCell ref="V1:Z1"/>
    <mergeCell ref="AA1:AE1"/>
    <mergeCell ref="AF1:AJ1"/>
    <mergeCell ref="G3:K3"/>
    <mergeCell ref="L3:P3"/>
    <mergeCell ref="Q3:U3"/>
    <mergeCell ref="V3:Z3"/>
    <mergeCell ref="AA3:AE3"/>
    <mergeCell ref="AF3:AJ3"/>
    <mergeCell ref="H4:K4"/>
    <mergeCell ref="AG4:AJ4"/>
    <mergeCell ref="B6:E6"/>
    <mergeCell ref="M6:P6"/>
    <mergeCell ref="R6:U6"/>
    <mergeCell ref="W6:Z6"/>
    <mergeCell ref="AB6:AE6"/>
    <mergeCell ref="G7:K7"/>
    <mergeCell ref="L7:P7"/>
    <mergeCell ref="Q7:U7"/>
    <mergeCell ref="V7:Z7"/>
    <mergeCell ref="AA7:AE7"/>
    <mergeCell ref="AF7:AJ7"/>
    <mergeCell ref="H8:K8"/>
    <mergeCell ref="AG8:AJ8"/>
    <mergeCell ref="B10:E10"/>
    <mergeCell ref="M10:P10"/>
    <mergeCell ref="R10:U10"/>
    <mergeCell ref="W10:Z10"/>
    <mergeCell ref="AB10:AE10"/>
    <mergeCell ref="G11:K11"/>
    <mergeCell ref="L11:P11"/>
    <mergeCell ref="Q11:U11"/>
    <mergeCell ref="V11:Z11"/>
    <mergeCell ref="AA11:AE11"/>
    <mergeCell ref="AF11:AJ11"/>
    <mergeCell ref="H12:K12"/>
    <mergeCell ref="AG12:AJ12"/>
    <mergeCell ref="M14:P14"/>
    <mergeCell ref="R14:U14"/>
    <mergeCell ref="W14:Z14"/>
    <mergeCell ref="AB14:AE14"/>
    <mergeCell ref="G15:K15"/>
    <mergeCell ref="L15:P15"/>
    <mergeCell ref="Q15:U15"/>
    <mergeCell ref="V15:Z15"/>
    <mergeCell ref="AA15:AE15"/>
    <mergeCell ref="AF15:AJ15"/>
    <mergeCell ref="B16:E16"/>
    <mergeCell ref="H16:K16"/>
    <mergeCell ref="AG16:AJ16"/>
    <mergeCell ref="B17:E17"/>
    <mergeCell ref="B18:E18"/>
    <mergeCell ref="M18:P18"/>
    <mergeCell ref="R18:U18"/>
    <mergeCell ref="W18:Z18"/>
    <mergeCell ref="AB18:AE18"/>
    <mergeCell ref="A7:A9"/>
    <mergeCell ref="A12:A14"/>
    <mergeCell ref="F3:F6"/>
    <mergeCell ref="F7:F10"/>
    <mergeCell ref="F11:F14"/>
    <mergeCell ref="F15:F18"/>
    <mergeCell ref="G5:G6"/>
    <mergeCell ref="G9:G10"/>
    <mergeCell ref="G13:G14"/>
    <mergeCell ref="G17:G18"/>
    <mergeCell ref="AF5:AF6"/>
    <mergeCell ref="AF9:AF10"/>
    <mergeCell ref="AF13:AF14"/>
    <mergeCell ref="AF17:AF18"/>
    <mergeCell ref="A4:B5"/>
    <mergeCell ref="C4:E5"/>
    <mergeCell ref="H5:K6"/>
    <mergeCell ref="AG5:AJ6"/>
    <mergeCell ref="B7:E9"/>
    <mergeCell ref="H9:K10"/>
    <mergeCell ref="AG9:AJ10"/>
    <mergeCell ref="B12:E14"/>
    <mergeCell ref="AG13:AJ14"/>
    <mergeCell ref="AG17:AJ18"/>
    <mergeCell ref="H17:K18"/>
    <mergeCell ref="H13:K14"/>
  </mergeCells>
  <conditionalFormatting sqref="M4:N5 R4:S5 M8:N9 R8:S9 W4:X5 W8:X9 M12:N13 R12:S13 W12:X13 M16:N17 R16:S17 W16:X17">
    <cfRule type="cellIs" dxfId="1" priority="4" operator="equal">
      <formula>0</formula>
    </cfRule>
  </conditionalFormatting>
  <conditionalFormatting sqref="M4 R4 W4 AB4 AB8 W8 R8 M8 M12 R12 W12 AB12 M16 R16 W16 AB16">
    <cfRule type="cellIs" dxfId="0" priority="1" operator="equal">
      <formula>0</formula>
    </cfRule>
  </conditionalFormatting>
  <conditionalFormatting sqref="N4 S4 X4 AC4 AC8 X8 N8 N12 S12 S8 X12 AC12 AC16 X16 S16 N16">
    <cfRule type="cellIs" dxfId="0" priority="2" operator="equal">
      <formula>0</formula>
    </cfRule>
  </conditionalFormatting>
  <conditionalFormatting sqref="AB4:AC5 AB8:AC9 AB12:AC13 AB16:AC17">
    <cfRule type="cellIs" dxfId="1" priority="3" operator="equal">
      <formula>0</formula>
    </cfRule>
  </conditionalFormatting>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5"/>
  </sheetPr>
  <dimension ref="A1:AC18"/>
  <sheetViews>
    <sheetView showGridLines="0" topLeftCell="E8" workbookViewId="0">
      <selection activeCell="R18" sqref="R18:U18"/>
    </sheetView>
  </sheetViews>
  <sheetFormatPr defaultColWidth="8.89090909090909" defaultRowHeight="16.5"/>
  <cols>
    <col min="1" max="5" width="10" style="1" customWidth="1"/>
    <col min="6" max="7" width="5" style="1" customWidth="1"/>
    <col min="8" max="9" width="10" style="1" customWidth="1"/>
    <col min="10" max="10" width="4.80909090909091" style="1" customWidth="1"/>
    <col min="11" max="11" width="10" style="1" customWidth="1"/>
    <col min="12" max="12" width="5" style="1" customWidth="1"/>
    <col min="13" max="14" width="10" style="1" customWidth="1"/>
    <col min="15" max="15" width="5" style="1" customWidth="1"/>
    <col min="16" max="16" width="20" style="1" customWidth="1"/>
    <col min="17" max="17" width="5" style="1" customWidth="1"/>
    <col min="18" max="19" width="10" style="1" customWidth="1"/>
    <col min="20" max="20" width="5" style="1" customWidth="1"/>
    <col min="21" max="21" width="20" style="1" customWidth="1"/>
    <col min="22" max="22" width="5" style="1" customWidth="1"/>
    <col min="23" max="26" width="10" style="1" customWidth="1"/>
    <col min="27" max="28" width="8.89090909090909" style="1"/>
    <col min="29" max="29" width="14.9636363636364" style="1" customWidth="1"/>
    <col min="30" max="16384" width="8.89090909090909" style="1"/>
  </cols>
  <sheetData>
    <row r="1" s="1" customFormat="1" ht="60.75" customHeight="1" spans="1:26">
      <c r="A1" s="282"/>
      <c r="B1" s="54" t="s">
        <v>345</v>
      </c>
      <c r="C1" s="54"/>
      <c r="D1" s="175" t="s">
        <v>346</v>
      </c>
      <c r="E1" s="176"/>
      <c r="F1" s="5"/>
      <c r="G1" s="283" t="s">
        <v>609</v>
      </c>
      <c r="H1" s="284"/>
      <c r="I1" s="284"/>
      <c r="J1" s="284"/>
      <c r="K1" s="284"/>
      <c r="L1" s="109"/>
      <c r="M1" s="5"/>
      <c r="N1" s="5"/>
      <c r="O1" s="5"/>
      <c r="P1" s="5"/>
      <c r="Q1" s="109"/>
      <c r="R1" s="5"/>
      <c r="S1" s="5"/>
      <c r="T1" s="5"/>
      <c r="U1" s="5"/>
      <c r="V1" s="205" t="s">
        <v>227</v>
      </c>
      <c r="W1" s="208"/>
      <c r="X1" s="208"/>
      <c r="Y1" s="208"/>
      <c r="Z1" s="208"/>
    </row>
    <row r="2" s="1" customFormat="1" customHeight="1" spans="1:29">
      <c r="A2" s="58"/>
      <c r="B2" s="58"/>
      <c r="C2" s="58"/>
      <c r="D2" s="58"/>
      <c r="E2" s="58"/>
      <c r="F2" s="177"/>
      <c r="G2" s="177"/>
      <c r="H2" s="177"/>
      <c r="I2" s="177"/>
      <c r="J2" s="177"/>
      <c r="K2" s="177"/>
      <c r="L2" s="192"/>
      <c r="M2" s="192"/>
      <c r="N2" s="192"/>
      <c r="O2" s="192"/>
      <c r="P2" s="192"/>
      <c r="Q2" s="192"/>
      <c r="R2" s="192"/>
      <c r="S2" s="192"/>
      <c r="T2" s="192"/>
      <c r="U2" s="192"/>
      <c r="V2" s="206"/>
      <c r="W2" s="206"/>
      <c r="X2" s="206"/>
      <c r="Y2" s="206"/>
      <c r="Z2" s="209"/>
      <c r="AB2" s="307"/>
      <c r="AC2" s="307"/>
    </row>
    <row r="3" s="1" customFormat="1" ht="20" customHeight="1" spans="1:29">
      <c r="A3" s="58"/>
      <c r="B3" s="58"/>
      <c r="C3" s="58"/>
      <c r="D3" s="58"/>
      <c r="E3" s="58"/>
      <c r="F3" s="178" t="s">
        <v>3</v>
      </c>
      <c r="G3" s="179" t="s">
        <v>4</v>
      </c>
      <c r="H3" s="61"/>
      <c r="I3" s="61"/>
      <c r="J3" s="61"/>
      <c r="K3" s="61"/>
      <c r="L3" s="106" t="s">
        <v>610</v>
      </c>
      <c r="M3" s="61"/>
      <c r="N3" s="61"/>
      <c r="O3" s="61"/>
      <c r="P3" s="61"/>
      <c r="Q3" s="106" t="s">
        <v>611</v>
      </c>
      <c r="R3" s="61"/>
      <c r="S3" s="61"/>
      <c r="T3" s="61"/>
      <c r="U3" s="61"/>
      <c r="V3" s="61" t="s">
        <v>9</v>
      </c>
      <c r="W3" s="61"/>
      <c r="X3" s="61"/>
      <c r="Y3" s="61"/>
      <c r="Z3" s="115"/>
      <c r="AA3" s="307"/>
      <c r="AB3" s="307"/>
      <c r="AC3" s="307"/>
    </row>
    <row r="4" s="1" customFormat="1" ht="60" customHeight="1" spans="1:29">
      <c r="A4" s="62" t="str">
        <f>_xlfn.DISPIMG("ID_B7348782B6964750A92A46CA70681D16",1)</f>
        <v>=DISPIMG("ID_B7348782B6964750A92A46CA70681D16",1)</v>
      </c>
      <c r="B4" s="62"/>
      <c r="C4" s="285" t="s">
        <v>612</v>
      </c>
      <c r="D4" s="64"/>
      <c r="E4" s="64"/>
      <c r="F4" s="180"/>
      <c r="G4" s="181" t="s">
        <v>11</v>
      </c>
      <c r="H4" s="286" t="s">
        <v>613</v>
      </c>
      <c r="I4" s="286"/>
      <c r="J4" s="286"/>
      <c r="K4" s="286"/>
      <c r="L4" s="66" t="s">
        <v>13</v>
      </c>
      <c r="M4" s="98">
        <v>0</v>
      </c>
      <c r="N4" s="99">
        <v>0</v>
      </c>
      <c r="O4" s="66" t="s">
        <v>14</v>
      </c>
      <c r="P4" s="100" t="s">
        <v>45</v>
      </c>
      <c r="Q4" s="66" t="s">
        <v>13</v>
      </c>
      <c r="R4" s="98">
        <v>1</v>
      </c>
      <c r="S4" s="99">
        <v>0</v>
      </c>
      <c r="T4" s="66" t="s">
        <v>14</v>
      </c>
      <c r="U4" s="100" t="s">
        <v>44</v>
      </c>
      <c r="V4" s="66" t="s">
        <v>16</v>
      </c>
      <c r="W4" s="298" t="s">
        <v>614</v>
      </c>
      <c r="X4" s="298"/>
      <c r="Y4" s="298"/>
      <c r="Z4" s="308"/>
      <c r="AA4" s="307" t="s">
        <v>615</v>
      </c>
      <c r="AB4" s="307"/>
      <c r="AC4" s="307"/>
    </row>
    <row r="5" s="1" customFormat="1" ht="60" customHeight="1" spans="1:29">
      <c r="A5" s="62"/>
      <c r="B5" s="62"/>
      <c r="C5" s="64"/>
      <c r="D5" s="64"/>
      <c r="E5" s="64"/>
      <c r="F5" s="180"/>
      <c r="G5" s="181" t="s">
        <v>18</v>
      </c>
      <c r="H5" s="125" t="s">
        <v>616</v>
      </c>
      <c r="I5" s="122"/>
      <c r="J5" s="122"/>
      <c r="K5" s="122"/>
      <c r="L5" s="66" t="s">
        <v>20</v>
      </c>
      <c r="M5" s="101">
        <v>1</v>
      </c>
      <c r="N5" s="102">
        <v>0</v>
      </c>
      <c r="O5" s="66" t="s">
        <v>21</v>
      </c>
      <c r="P5" s="100" t="s">
        <v>45</v>
      </c>
      <c r="Q5" s="66" t="s">
        <v>20</v>
      </c>
      <c r="R5" s="101">
        <v>3</v>
      </c>
      <c r="S5" s="102">
        <v>0</v>
      </c>
      <c r="T5" s="66" t="s">
        <v>21</v>
      </c>
      <c r="U5" s="100" t="s">
        <v>22</v>
      </c>
      <c r="V5" s="66" t="s">
        <v>24</v>
      </c>
      <c r="W5" s="299" t="s">
        <v>617</v>
      </c>
      <c r="X5" s="299"/>
      <c r="Y5" s="299"/>
      <c r="Z5" s="309"/>
      <c r="AA5" s="307"/>
      <c r="AB5" s="307"/>
      <c r="AC5" s="307"/>
    </row>
    <row r="6" s="1" customFormat="1" ht="60" customHeight="1" spans="1:29">
      <c r="A6" s="69" t="s">
        <v>26</v>
      </c>
      <c r="B6" s="70" t="s">
        <v>618</v>
      </c>
      <c r="C6" s="71"/>
      <c r="D6" s="71"/>
      <c r="E6" s="71"/>
      <c r="F6" s="182"/>
      <c r="G6" s="183"/>
      <c r="H6" s="287"/>
      <c r="I6" s="287"/>
      <c r="J6" s="287"/>
      <c r="K6" s="287"/>
      <c r="L6" s="193" t="s">
        <v>28</v>
      </c>
      <c r="M6" s="291" t="s">
        <v>619</v>
      </c>
      <c r="N6" s="248"/>
      <c r="O6" s="248"/>
      <c r="P6" s="248"/>
      <c r="Q6" s="193" t="s">
        <v>28</v>
      </c>
      <c r="R6" s="194" t="s">
        <v>620</v>
      </c>
      <c r="S6" s="248"/>
      <c r="T6" s="248"/>
      <c r="U6" s="248"/>
      <c r="V6" s="193"/>
      <c r="W6" s="300"/>
      <c r="X6" s="300"/>
      <c r="Y6" s="300"/>
      <c r="Z6" s="310"/>
      <c r="AA6" s="307"/>
      <c r="AB6" s="307"/>
      <c r="AC6" s="307"/>
    </row>
    <row r="7" s="1" customFormat="1" ht="25.15" customHeight="1" spans="1:29">
      <c r="A7" s="69" t="s">
        <v>33</v>
      </c>
      <c r="B7" s="70" t="s">
        <v>621</v>
      </c>
      <c r="C7" s="72"/>
      <c r="D7" s="72"/>
      <c r="E7" s="72"/>
      <c r="F7" s="180" t="s">
        <v>35</v>
      </c>
      <c r="G7" s="179" t="s">
        <v>36</v>
      </c>
      <c r="H7" s="61"/>
      <c r="I7" s="61"/>
      <c r="J7" s="61"/>
      <c r="K7" s="61"/>
      <c r="L7" s="106" t="s">
        <v>622</v>
      </c>
      <c r="M7" s="61"/>
      <c r="N7" s="61"/>
      <c r="O7" s="61"/>
      <c r="P7" s="61"/>
      <c r="Q7" s="106" t="s">
        <v>623</v>
      </c>
      <c r="R7" s="61"/>
      <c r="S7" s="61"/>
      <c r="T7" s="61"/>
      <c r="U7" s="61"/>
      <c r="V7" s="61" t="s">
        <v>41</v>
      </c>
      <c r="W7" s="61"/>
      <c r="X7" s="61"/>
      <c r="Y7" s="61"/>
      <c r="Z7" s="115"/>
      <c r="AA7" s="307"/>
      <c r="AB7" s="307"/>
      <c r="AC7" s="307"/>
    </row>
    <row r="8" s="1" customFormat="1" ht="60" customHeight="1" spans="1:29">
      <c r="A8" s="69"/>
      <c r="B8" s="72"/>
      <c r="C8" s="72"/>
      <c r="D8" s="72"/>
      <c r="E8" s="72"/>
      <c r="F8" s="180"/>
      <c r="G8" s="181" t="s">
        <v>11</v>
      </c>
      <c r="H8" s="74" t="s">
        <v>624</v>
      </c>
      <c r="I8" s="74"/>
      <c r="J8" s="74"/>
      <c r="K8" s="74"/>
      <c r="L8" s="66" t="s">
        <v>13</v>
      </c>
      <c r="M8" s="292">
        <v>0</v>
      </c>
      <c r="N8" s="99">
        <v>1</v>
      </c>
      <c r="O8" s="66" t="s">
        <v>14</v>
      </c>
      <c r="P8" s="100" t="s">
        <v>44</v>
      </c>
      <c r="Q8" s="66" t="s">
        <v>13</v>
      </c>
      <c r="R8" s="292">
        <v>1</v>
      </c>
      <c r="S8" s="99">
        <v>0</v>
      </c>
      <c r="T8" s="66" t="s">
        <v>14</v>
      </c>
      <c r="U8" s="100" t="s">
        <v>44</v>
      </c>
      <c r="V8" s="66" t="s">
        <v>16</v>
      </c>
      <c r="W8" s="88" t="s">
        <v>625</v>
      </c>
      <c r="X8" s="88"/>
      <c r="Y8" s="88"/>
      <c r="Z8" s="210"/>
      <c r="AA8" s="307"/>
      <c r="AB8" s="307"/>
      <c r="AC8" s="307"/>
    </row>
    <row r="9" s="1" customFormat="1" ht="60" customHeight="1" spans="1:29">
      <c r="A9" s="69"/>
      <c r="B9" s="72"/>
      <c r="C9" s="72"/>
      <c r="D9" s="72"/>
      <c r="E9" s="72"/>
      <c r="F9" s="180"/>
      <c r="G9" s="181" t="s">
        <v>18</v>
      </c>
      <c r="H9" s="127" t="s">
        <v>626</v>
      </c>
      <c r="I9" s="127"/>
      <c r="J9" s="127"/>
      <c r="K9" s="127"/>
      <c r="L9" s="66" t="s">
        <v>20</v>
      </c>
      <c r="M9" s="293">
        <v>2</v>
      </c>
      <c r="N9" s="102">
        <v>0</v>
      </c>
      <c r="O9" s="66" t="s">
        <v>21</v>
      </c>
      <c r="P9" s="100" t="s">
        <v>23</v>
      </c>
      <c r="Q9" s="66" t="s">
        <v>20</v>
      </c>
      <c r="R9" s="293">
        <v>2</v>
      </c>
      <c r="S9" s="102">
        <v>0</v>
      </c>
      <c r="T9" s="66" t="s">
        <v>21</v>
      </c>
      <c r="U9" s="100" t="s">
        <v>22</v>
      </c>
      <c r="V9" s="66" t="s">
        <v>24</v>
      </c>
      <c r="W9" s="301" t="s">
        <v>627</v>
      </c>
      <c r="X9" s="301"/>
      <c r="Y9" s="301"/>
      <c r="Z9" s="311"/>
      <c r="AA9" s="307"/>
      <c r="AB9" s="307"/>
      <c r="AC9" s="307"/>
    </row>
    <row r="10" s="1" customFormat="1" ht="60" customHeight="1" spans="1:29">
      <c r="A10" s="69" t="s">
        <v>49</v>
      </c>
      <c r="B10" s="70" t="s">
        <v>628</v>
      </c>
      <c r="C10" s="71"/>
      <c r="D10" s="71"/>
      <c r="E10" s="71"/>
      <c r="F10" s="180"/>
      <c r="G10" s="183"/>
      <c r="H10" s="184"/>
      <c r="I10" s="184"/>
      <c r="J10" s="184"/>
      <c r="K10" s="184"/>
      <c r="L10" s="193" t="s">
        <v>28</v>
      </c>
      <c r="M10" s="291" t="s">
        <v>629</v>
      </c>
      <c r="N10" s="199"/>
      <c r="O10" s="199"/>
      <c r="P10" s="199"/>
      <c r="Q10" s="193" t="s">
        <v>28</v>
      </c>
      <c r="R10" s="194" t="s">
        <v>630</v>
      </c>
      <c r="S10" s="199"/>
      <c r="T10" s="199"/>
      <c r="U10" s="199"/>
      <c r="V10" s="193"/>
      <c r="W10" s="302"/>
      <c r="X10" s="302"/>
      <c r="Y10" s="302"/>
      <c r="Z10" s="312"/>
      <c r="AA10" s="307"/>
      <c r="AB10" s="307"/>
      <c r="AC10" s="307"/>
    </row>
    <row r="11" s="1" customFormat="1" ht="20" customHeight="1" spans="1:26">
      <c r="A11" s="78"/>
      <c r="B11" s="78"/>
      <c r="C11" s="78"/>
      <c r="D11" s="78"/>
      <c r="E11" s="78"/>
      <c r="F11" s="186" t="s">
        <v>55</v>
      </c>
      <c r="G11" s="179" t="s">
        <v>56</v>
      </c>
      <c r="H11" s="61"/>
      <c r="I11" s="61"/>
      <c r="J11" s="61"/>
      <c r="K11" s="61"/>
      <c r="L11" s="106" t="s">
        <v>631</v>
      </c>
      <c r="M11" s="61"/>
      <c r="N11" s="61"/>
      <c r="O11" s="61"/>
      <c r="P11" s="61"/>
      <c r="Q11" s="106" t="s">
        <v>263</v>
      </c>
      <c r="R11" s="61"/>
      <c r="S11" s="61"/>
      <c r="T11" s="61"/>
      <c r="U11" s="61"/>
      <c r="V11" s="61" t="s">
        <v>61</v>
      </c>
      <c r="W11" s="61"/>
      <c r="X11" s="61"/>
      <c r="Y11" s="61"/>
      <c r="Z11" s="115"/>
    </row>
    <row r="12" s="1" customFormat="1" ht="60" customHeight="1" spans="1:26">
      <c r="A12" s="79" t="s">
        <v>62</v>
      </c>
      <c r="B12" s="80" t="str">
        <f>_xlfn.DISPIMG("ID_309279356856475B8C5FCA829701C705",1)</f>
        <v>=DISPIMG("ID_309279356856475B8C5FCA829701C705",1)</v>
      </c>
      <c r="C12" s="80"/>
      <c r="D12" s="80"/>
      <c r="E12" s="80"/>
      <c r="F12" s="180"/>
      <c r="G12" s="181" t="s">
        <v>11</v>
      </c>
      <c r="H12" s="67" t="s">
        <v>632</v>
      </c>
      <c r="I12" s="67"/>
      <c r="J12" s="67"/>
      <c r="K12" s="67"/>
      <c r="L12" s="66" t="s">
        <v>13</v>
      </c>
      <c r="M12" s="98">
        <v>1</v>
      </c>
      <c r="N12" s="99">
        <v>0</v>
      </c>
      <c r="O12" s="66" t="s">
        <v>14</v>
      </c>
      <c r="P12" s="100" t="s">
        <v>44</v>
      </c>
      <c r="Q12" s="66" t="s">
        <v>13</v>
      </c>
      <c r="R12" s="98">
        <v>0</v>
      </c>
      <c r="S12" s="99">
        <v>0</v>
      </c>
      <c r="T12" s="66" t="s">
        <v>14</v>
      </c>
      <c r="U12" s="100" t="s">
        <v>633</v>
      </c>
      <c r="V12" s="66" t="s">
        <v>16</v>
      </c>
      <c r="W12" s="47" t="s">
        <v>634</v>
      </c>
      <c r="X12" s="47"/>
      <c r="Y12" s="47"/>
      <c r="Z12" s="313"/>
    </row>
    <row r="13" s="1" customFormat="1" ht="60" customHeight="1" spans="1:26">
      <c r="A13" s="82"/>
      <c r="B13" s="80"/>
      <c r="C13" s="80"/>
      <c r="D13" s="80"/>
      <c r="E13" s="80"/>
      <c r="F13" s="180"/>
      <c r="G13" s="181" t="s">
        <v>18</v>
      </c>
      <c r="H13" s="122" t="s">
        <v>635</v>
      </c>
      <c r="I13" s="122"/>
      <c r="J13" s="122"/>
      <c r="K13" s="122"/>
      <c r="L13" s="66" t="s">
        <v>20</v>
      </c>
      <c r="M13" s="293">
        <v>3</v>
      </c>
      <c r="N13" s="102">
        <v>0</v>
      </c>
      <c r="O13" s="66" t="s">
        <v>21</v>
      </c>
      <c r="P13" s="100" t="s">
        <v>22</v>
      </c>
      <c r="Q13" s="66" t="s">
        <v>20</v>
      </c>
      <c r="R13" s="101">
        <v>0</v>
      </c>
      <c r="S13" s="102">
        <v>0</v>
      </c>
      <c r="T13" s="66" t="s">
        <v>21</v>
      </c>
      <c r="U13" s="100" t="s">
        <v>633</v>
      </c>
      <c r="V13" s="66" t="s">
        <v>24</v>
      </c>
      <c r="W13" s="51" t="s">
        <v>636</v>
      </c>
      <c r="X13" s="51"/>
      <c r="Y13" s="51"/>
      <c r="Z13" s="314"/>
    </row>
    <row r="14" s="1" customFormat="1" ht="60" customHeight="1" spans="1:26">
      <c r="A14" s="82"/>
      <c r="B14" s="80"/>
      <c r="C14" s="80"/>
      <c r="D14" s="80"/>
      <c r="E14" s="80"/>
      <c r="F14" s="182"/>
      <c r="G14" s="183"/>
      <c r="H14" s="287"/>
      <c r="I14" s="287"/>
      <c r="J14" s="287"/>
      <c r="K14" s="287"/>
      <c r="L14" s="193" t="s">
        <v>28</v>
      </c>
      <c r="M14" s="194" t="s">
        <v>637</v>
      </c>
      <c r="N14" s="199"/>
      <c r="O14" s="199"/>
      <c r="P14" s="199"/>
      <c r="Q14" s="94" t="s">
        <v>28</v>
      </c>
      <c r="R14" s="303" t="s">
        <v>638</v>
      </c>
      <c r="S14" s="303"/>
      <c r="T14" s="303"/>
      <c r="U14" s="303"/>
      <c r="V14" s="193"/>
      <c r="W14" s="304"/>
      <c r="X14" s="304"/>
      <c r="Y14" s="304"/>
      <c r="Z14" s="315"/>
    </row>
    <row r="15" s="1" customFormat="1" ht="20" customHeight="1" spans="1:26">
      <c r="A15" s="83"/>
      <c r="B15" s="83"/>
      <c r="C15" s="83"/>
      <c r="D15" s="83"/>
      <c r="E15" s="83"/>
      <c r="F15" s="180" t="s">
        <v>77</v>
      </c>
      <c r="G15" s="179" t="s">
        <v>78</v>
      </c>
      <c r="H15" s="61"/>
      <c r="I15" s="61"/>
      <c r="J15" s="61"/>
      <c r="K15" s="115"/>
      <c r="L15" s="106" t="s">
        <v>639</v>
      </c>
      <c r="M15" s="61"/>
      <c r="N15" s="61"/>
      <c r="O15" s="61"/>
      <c r="P15" s="61"/>
      <c r="Q15" s="106" t="s">
        <v>640</v>
      </c>
      <c r="R15" s="61"/>
      <c r="S15" s="61"/>
      <c r="T15" s="61"/>
      <c r="U15" s="61"/>
      <c r="V15" s="61" t="s">
        <v>78</v>
      </c>
      <c r="W15" s="61"/>
      <c r="X15" s="61"/>
      <c r="Y15" s="61"/>
      <c r="Z15" s="115"/>
    </row>
    <row r="16" s="1" customFormat="1" ht="60" customHeight="1" spans="1:26">
      <c r="A16" s="85" t="s">
        <v>83</v>
      </c>
      <c r="B16" s="86" t="s">
        <v>88</v>
      </c>
      <c r="C16" s="87"/>
      <c r="D16" s="87"/>
      <c r="E16" s="87"/>
      <c r="F16" s="180"/>
      <c r="G16" s="181" t="s">
        <v>11</v>
      </c>
      <c r="H16" s="288" t="s">
        <v>641</v>
      </c>
      <c r="I16" s="288"/>
      <c r="J16" s="288"/>
      <c r="K16" s="294"/>
      <c r="L16" s="66" t="s">
        <v>13</v>
      </c>
      <c r="M16" s="98">
        <v>0</v>
      </c>
      <c r="N16" s="99">
        <v>1</v>
      </c>
      <c r="O16" s="66" t="s">
        <v>14</v>
      </c>
      <c r="P16" s="100" t="s">
        <v>66</v>
      </c>
      <c r="Q16" s="66" t="s">
        <v>13</v>
      </c>
      <c r="R16" s="98">
        <v>0</v>
      </c>
      <c r="S16" s="99">
        <v>0</v>
      </c>
      <c r="T16" s="66" t="s">
        <v>14</v>
      </c>
      <c r="U16" s="100" t="s">
        <v>633</v>
      </c>
      <c r="V16" s="66" t="s">
        <v>11</v>
      </c>
      <c r="W16" s="305" t="s">
        <v>642</v>
      </c>
      <c r="X16" s="305"/>
      <c r="Y16" s="305"/>
      <c r="Z16" s="305"/>
    </row>
    <row r="17" s="1" customFormat="1" ht="60" customHeight="1" spans="1:26">
      <c r="A17" s="85" t="s">
        <v>87</v>
      </c>
      <c r="B17" s="86" t="s">
        <v>84</v>
      </c>
      <c r="C17" s="87"/>
      <c r="D17" s="87"/>
      <c r="E17" s="87"/>
      <c r="F17" s="180"/>
      <c r="G17" s="181" t="s">
        <v>18</v>
      </c>
      <c r="H17" s="289" t="s">
        <v>643</v>
      </c>
      <c r="I17" s="289"/>
      <c r="J17" s="289"/>
      <c r="K17" s="295"/>
      <c r="L17" s="66" t="s">
        <v>20</v>
      </c>
      <c r="M17" s="101">
        <v>3</v>
      </c>
      <c r="N17" s="102">
        <v>0</v>
      </c>
      <c r="O17" s="66" t="s">
        <v>21</v>
      </c>
      <c r="P17" s="100" t="s">
        <v>22</v>
      </c>
      <c r="Q17" s="66" t="s">
        <v>20</v>
      </c>
      <c r="R17" s="101">
        <v>0</v>
      </c>
      <c r="S17" s="102">
        <v>0</v>
      </c>
      <c r="T17" s="66" t="s">
        <v>21</v>
      </c>
      <c r="U17" s="100" t="s">
        <v>633</v>
      </c>
      <c r="V17" s="66" t="s">
        <v>18</v>
      </c>
      <c r="W17" s="306" t="s">
        <v>644</v>
      </c>
      <c r="X17" s="306"/>
      <c r="Y17" s="306"/>
      <c r="Z17" s="306"/>
    </row>
    <row r="18" s="1" customFormat="1" ht="73.35" customHeight="1" spans="1:26">
      <c r="A18" s="90" t="s">
        <v>151</v>
      </c>
      <c r="B18" s="91" t="s">
        <v>645</v>
      </c>
      <c r="C18" s="92"/>
      <c r="D18" s="92"/>
      <c r="E18" s="92"/>
      <c r="F18" s="189"/>
      <c r="G18" s="190"/>
      <c r="H18" s="290"/>
      <c r="I18" s="290"/>
      <c r="J18" s="290"/>
      <c r="K18" s="296"/>
      <c r="L18" s="94" t="s">
        <v>28</v>
      </c>
      <c r="M18" s="297" t="s">
        <v>646</v>
      </c>
      <c r="N18" s="297"/>
      <c r="O18" s="297"/>
      <c r="P18" s="297"/>
      <c r="Q18" s="94" t="s">
        <v>28</v>
      </c>
      <c r="R18" s="303" t="s">
        <v>647</v>
      </c>
      <c r="S18" s="303"/>
      <c r="T18" s="303"/>
      <c r="U18" s="303"/>
      <c r="V18" s="94"/>
      <c r="W18" s="306"/>
      <c r="X18" s="306"/>
      <c r="Y18" s="306"/>
      <c r="Z18" s="306"/>
    </row>
  </sheetData>
  <sheetProtection selectLockedCells="1" formatCells="0" formatColumns="0" formatRows="0" insertRows="0" insertColumns="0" insertHyperlinks="0" deleteColumns="0" deleteRows="0" sort="0" autoFilter="0" pivotTables="0"/>
  <mergeCells count="70">
    <mergeCell ref="B1:C1"/>
    <mergeCell ref="D1:E1"/>
    <mergeCell ref="G1:K1"/>
    <mergeCell ref="L1:P1"/>
    <mergeCell ref="Q1:U1"/>
    <mergeCell ref="V1:Z1"/>
    <mergeCell ref="G3:K3"/>
    <mergeCell ref="L3:P3"/>
    <mergeCell ref="Q3:U3"/>
    <mergeCell ref="V3:Z3"/>
    <mergeCell ref="H4:K4"/>
    <mergeCell ref="W4:Z4"/>
    <mergeCell ref="B6:E6"/>
    <mergeCell ref="M6:P6"/>
    <mergeCell ref="R6:U6"/>
    <mergeCell ref="G7:K7"/>
    <mergeCell ref="L7:P7"/>
    <mergeCell ref="Q7:U7"/>
    <mergeCell ref="V7:Z7"/>
    <mergeCell ref="H8:K8"/>
    <mergeCell ref="W8:Z8"/>
    <mergeCell ref="B10:E10"/>
    <mergeCell ref="M10:P10"/>
    <mergeCell ref="R10:U10"/>
    <mergeCell ref="G11:K11"/>
    <mergeCell ref="L11:P11"/>
    <mergeCell ref="Q11:U11"/>
    <mergeCell ref="V11:Z11"/>
    <mergeCell ref="H12:K12"/>
    <mergeCell ref="W12:Z12"/>
    <mergeCell ref="M14:P14"/>
    <mergeCell ref="R14:U14"/>
    <mergeCell ref="G15:K15"/>
    <mergeCell ref="L15:P15"/>
    <mergeCell ref="Q15:U15"/>
    <mergeCell ref="V15:Z15"/>
    <mergeCell ref="B16:E16"/>
    <mergeCell ref="H16:K16"/>
    <mergeCell ref="W16:Z16"/>
    <mergeCell ref="B17:E17"/>
    <mergeCell ref="B18:E18"/>
    <mergeCell ref="M18:P18"/>
    <mergeCell ref="R18:U18"/>
    <mergeCell ref="A7:A9"/>
    <mergeCell ref="A12:A14"/>
    <mergeCell ref="F3:F6"/>
    <mergeCell ref="F7:F10"/>
    <mergeCell ref="F11:F14"/>
    <mergeCell ref="F15:F18"/>
    <mergeCell ref="G5:G6"/>
    <mergeCell ref="G9:G10"/>
    <mergeCell ref="G13:G14"/>
    <mergeCell ref="G17:G18"/>
    <mergeCell ref="V5:V6"/>
    <mergeCell ref="V9:V10"/>
    <mergeCell ref="V13:V14"/>
    <mergeCell ref="V17:V18"/>
    <mergeCell ref="A4:B5"/>
    <mergeCell ref="C4:E5"/>
    <mergeCell ref="H5:K6"/>
    <mergeCell ref="B7:E9"/>
    <mergeCell ref="H9:K10"/>
    <mergeCell ref="B12:E14"/>
    <mergeCell ref="H17:K18"/>
    <mergeCell ref="W5:Z6"/>
    <mergeCell ref="AA4:AC8"/>
    <mergeCell ref="H13:K14"/>
    <mergeCell ref="W13:Z14"/>
    <mergeCell ref="W9:Z10"/>
    <mergeCell ref="W17:Z18"/>
  </mergeCells>
  <conditionalFormatting sqref="M8 M4 M12 M16">
    <cfRule type="cellIs" dxfId="0" priority="3" operator="equal">
      <formula>0</formula>
    </cfRule>
  </conditionalFormatting>
  <conditionalFormatting sqref="M4:N5 M8:N9 M12:N13 M16:N17">
    <cfRule type="cellIs" dxfId="1" priority="5" operator="equal">
      <formula>0</formula>
    </cfRule>
  </conditionalFormatting>
  <conditionalFormatting sqref="N8 N4 N12 N16">
    <cfRule type="cellIs" dxfId="0" priority="4" operator="equal">
      <formula>0</formula>
    </cfRule>
  </conditionalFormatting>
  <conditionalFormatting sqref="R4 R8 R12 R16">
    <cfRule type="cellIs" dxfId="0" priority="2" operator="equal">
      <formula>0</formula>
    </cfRule>
  </conditionalFormatting>
  <conditionalFormatting sqref="S16 S12 S8 S4">
    <cfRule type="cellIs" dxfId="0" priority="1" operator="equal">
      <formula>0</formula>
    </cfRule>
  </conditionalFormatting>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25"/>
  </sheetPr>
  <dimension ref="A1:AJ47"/>
  <sheetViews>
    <sheetView showGridLines="0" workbookViewId="0">
      <selection activeCell="H9" sqref="H9:K10"/>
    </sheetView>
  </sheetViews>
  <sheetFormatPr defaultColWidth="8.89090909090909" defaultRowHeight="16.5"/>
  <cols>
    <col min="1" max="5" width="10" style="1" customWidth="1"/>
    <col min="6" max="7" width="5" style="1" customWidth="1"/>
    <col min="8" max="11" width="10" style="1" customWidth="1"/>
    <col min="12" max="12" width="5" style="1" customWidth="1"/>
    <col min="13" max="14" width="10" style="1" customWidth="1"/>
    <col min="15" max="15" width="5" style="1" customWidth="1"/>
    <col min="16" max="16" width="20" style="1" customWidth="1"/>
    <col min="17" max="17" width="5" style="1" customWidth="1"/>
    <col min="18" max="19" width="10" style="1" customWidth="1"/>
    <col min="20" max="20" width="5" style="1" customWidth="1"/>
    <col min="21" max="21" width="20" style="1" customWidth="1"/>
    <col min="22" max="22" width="5" style="1" customWidth="1"/>
    <col min="23" max="24" width="10" style="1" customWidth="1"/>
    <col min="25" max="25" width="5" style="1" customWidth="1"/>
    <col min="26" max="26" width="20" style="1" customWidth="1"/>
    <col min="27" max="27" width="5" style="1" customWidth="1"/>
    <col min="28" max="29" width="10" style="1" customWidth="1"/>
    <col min="30" max="30" width="5" style="1" customWidth="1"/>
    <col min="31" max="31" width="20" style="1" customWidth="1"/>
    <col min="32" max="32" width="5" style="1" customWidth="1"/>
    <col min="33" max="36" width="10" style="1" customWidth="1"/>
    <col min="37" max="16384" width="8.89090909090909" style="1"/>
  </cols>
  <sheetData>
    <row r="1" s="1" customFormat="1" ht="60" customHeight="1" spans="1:36">
      <c r="A1" s="174" t="str">
        <f>_xlfn.DISPIMG("ID_52415B6A2B1D4D28A07C36CA61249B08",1)</f>
        <v>=DISPIMG("ID_52415B6A2B1D4D28A07C36CA61249B08",1)</v>
      </c>
      <c r="B1" s="54" t="s">
        <v>648</v>
      </c>
      <c r="C1" s="54"/>
      <c r="D1" s="175" t="s">
        <v>649</v>
      </c>
      <c r="E1" s="176"/>
      <c r="F1" s="5"/>
      <c r="L1" s="109"/>
      <c r="M1" s="5"/>
      <c r="N1" s="5"/>
      <c r="O1" s="5"/>
      <c r="P1" s="5"/>
      <c r="Q1" s="109"/>
      <c r="R1" s="5"/>
      <c r="S1" s="5"/>
      <c r="T1" s="5"/>
      <c r="U1" s="5"/>
      <c r="V1" s="109"/>
      <c r="W1" s="5"/>
      <c r="X1" s="5"/>
      <c r="Y1" s="5"/>
      <c r="Z1" s="5"/>
      <c r="AA1" s="109"/>
      <c r="AB1" s="5"/>
      <c r="AC1" s="5"/>
      <c r="AD1" s="5"/>
      <c r="AE1" s="5"/>
      <c r="AF1" s="205" t="s">
        <v>227</v>
      </c>
      <c r="AG1" s="208"/>
      <c r="AH1" s="208"/>
      <c r="AI1" s="208"/>
      <c r="AJ1" s="208"/>
    </row>
    <row r="2" s="1" customFormat="1" ht="15" customHeight="1" spans="1:36">
      <c r="A2" s="58"/>
      <c r="B2" s="58"/>
      <c r="C2" s="58"/>
      <c r="D2" s="58"/>
      <c r="E2" s="58"/>
      <c r="F2" s="177"/>
      <c r="G2" s="177"/>
      <c r="H2" s="177"/>
      <c r="I2" s="177"/>
      <c r="J2" s="177"/>
      <c r="K2" s="177"/>
      <c r="L2" s="192"/>
      <c r="M2" s="192"/>
      <c r="N2" s="192"/>
      <c r="O2" s="192"/>
      <c r="P2" s="192"/>
      <c r="Q2" s="192"/>
      <c r="R2" s="192"/>
      <c r="S2" s="192"/>
      <c r="T2" s="192"/>
      <c r="U2" s="192"/>
      <c r="V2" s="192"/>
      <c r="W2" s="192"/>
      <c r="X2" s="192"/>
      <c r="Y2" s="192"/>
      <c r="Z2" s="192"/>
      <c r="AA2" s="192"/>
      <c r="AB2" s="192"/>
      <c r="AC2" s="192"/>
      <c r="AD2" s="192"/>
      <c r="AE2" s="192"/>
      <c r="AF2" s="206"/>
      <c r="AG2" s="206"/>
      <c r="AH2" s="206"/>
      <c r="AI2" s="206"/>
      <c r="AJ2" s="209"/>
    </row>
    <row r="3" s="1" customFormat="1" ht="20" customHeight="1" spans="1:36">
      <c r="A3" s="58"/>
      <c r="B3" s="58"/>
      <c r="C3" s="58"/>
      <c r="D3" s="58"/>
      <c r="E3" s="58"/>
      <c r="F3" s="178" t="s">
        <v>3</v>
      </c>
      <c r="G3" s="179" t="s">
        <v>4</v>
      </c>
      <c r="H3" s="61"/>
      <c r="I3" s="61"/>
      <c r="J3" s="61"/>
      <c r="K3" s="61"/>
      <c r="L3" s="106" t="s">
        <v>650</v>
      </c>
      <c r="M3" s="61"/>
      <c r="N3" s="61"/>
      <c r="O3" s="61"/>
      <c r="P3" s="61"/>
      <c r="Q3" s="106" t="s">
        <v>651</v>
      </c>
      <c r="R3" s="61"/>
      <c r="S3" s="61"/>
      <c r="T3" s="61"/>
      <c r="U3" s="61"/>
      <c r="V3" s="106" t="s">
        <v>652</v>
      </c>
      <c r="W3" s="61"/>
      <c r="X3" s="61"/>
      <c r="Y3" s="61"/>
      <c r="Z3" s="61"/>
      <c r="AA3" s="106" t="s">
        <v>653</v>
      </c>
      <c r="AB3" s="61"/>
      <c r="AC3" s="61"/>
      <c r="AD3" s="61"/>
      <c r="AE3" s="61"/>
      <c r="AF3" s="61" t="s">
        <v>9</v>
      </c>
      <c r="AG3" s="61"/>
      <c r="AH3" s="61"/>
      <c r="AI3" s="61"/>
      <c r="AJ3" s="115"/>
    </row>
    <row r="4" s="1" customFormat="1" ht="60" customHeight="1" spans="1:36">
      <c r="A4" s="62" t="str">
        <f>_xlfn.DISPIMG("ID_FC74DF890C58414391C36BDA90B3718A",1)</f>
        <v>=DISPIMG("ID_FC74DF890C58414391C36BDA90B3718A",1)</v>
      </c>
      <c r="B4" s="62"/>
      <c r="C4" s="63" t="s">
        <v>654</v>
      </c>
      <c r="D4" s="64"/>
      <c r="E4" s="64"/>
      <c r="F4" s="180"/>
      <c r="G4" s="181" t="s">
        <v>11</v>
      </c>
      <c r="H4" s="67" t="s">
        <v>655</v>
      </c>
      <c r="I4" s="67"/>
      <c r="J4" s="67"/>
      <c r="K4" s="67"/>
      <c r="L4" s="66" t="s">
        <v>13</v>
      </c>
      <c r="M4" s="98">
        <v>1</v>
      </c>
      <c r="N4" s="99">
        <v>0</v>
      </c>
      <c r="O4" s="66" t="s">
        <v>14</v>
      </c>
      <c r="P4" s="100" t="s">
        <v>44</v>
      </c>
      <c r="Q4" s="66" t="s">
        <v>13</v>
      </c>
      <c r="R4" s="98">
        <v>0</v>
      </c>
      <c r="S4" s="99">
        <v>1</v>
      </c>
      <c r="T4" s="66" t="s">
        <v>14</v>
      </c>
      <c r="U4" s="100" t="s">
        <v>44</v>
      </c>
      <c r="V4" s="66" t="s">
        <v>13</v>
      </c>
      <c r="W4" s="98">
        <v>1</v>
      </c>
      <c r="X4" s="99">
        <v>0</v>
      </c>
      <c r="Y4" s="66" t="s">
        <v>14</v>
      </c>
      <c r="Z4" s="100" t="s">
        <v>45</v>
      </c>
      <c r="AA4" s="66" t="s">
        <v>13</v>
      </c>
      <c r="AB4" s="98">
        <v>1</v>
      </c>
      <c r="AC4" s="99">
        <v>0</v>
      </c>
      <c r="AD4" s="66" t="s">
        <v>14</v>
      </c>
      <c r="AE4" s="100" t="str">
        <f>_xlfn.DISPIMG("ID_A44094FD27CB4749AB4C5CCF7AC577A9",1)</f>
        <v>=DISPIMG("ID_A44094FD27CB4749AB4C5CCF7AC577A9",1)</v>
      </c>
      <c r="AF4" s="66" t="s">
        <v>16</v>
      </c>
      <c r="AG4" s="159" t="s">
        <v>656</v>
      </c>
      <c r="AH4" s="159"/>
      <c r="AI4" s="159"/>
      <c r="AJ4" s="160"/>
    </row>
    <row r="5" s="1" customFormat="1" ht="60" customHeight="1" spans="1:36">
      <c r="A5" s="62"/>
      <c r="B5" s="62"/>
      <c r="C5" s="64"/>
      <c r="D5" s="64"/>
      <c r="E5" s="64"/>
      <c r="F5" s="180"/>
      <c r="G5" s="181" t="s">
        <v>18</v>
      </c>
      <c r="H5" s="68" t="s">
        <v>657</v>
      </c>
      <c r="I5" s="68"/>
      <c r="J5" s="68"/>
      <c r="K5" s="68"/>
      <c r="L5" s="66" t="s">
        <v>20</v>
      </c>
      <c r="M5" s="101">
        <v>2</v>
      </c>
      <c r="N5" s="102">
        <v>0</v>
      </c>
      <c r="O5" s="66" t="s">
        <v>21</v>
      </c>
      <c r="P5" s="100" t="s">
        <v>510</v>
      </c>
      <c r="Q5" s="66" t="s">
        <v>20</v>
      </c>
      <c r="R5" s="101">
        <v>1</v>
      </c>
      <c r="S5" s="102">
        <v>0</v>
      </c>
      <c r="T5" s="66" t="s">
        <v>21</v>
      </c>
      <c r="U5" s="100" t="s">
        <v>510</v>
      </c>
      <c r="V5" s="66" t="s">
        <v>20</v>
      </c>
      <c r="W5" s="101">
        <v>1</v>
      </c>
      <c r="X5" s="102">
        <v>0</v>
      </c>
      <c r="Y5" s="66" t="s">
        <v>21</v>
      </c>
      <c r="Z5" s="100" t="s">
        <v>45</v>
      </c>
      <c r="AA5" s="66" t="s">
        <v>20</v>
      </c>
      <c r="AB5" s="101">
        <v>5</v>
      </c>
      <c r="AC5" s="102">
        <v>1</v>
      </c>
      <c r="AD5" s="66" t="s">
        <v>21</v>
      </c>
      <c r="AE5" s="100" t="s">
        <v>510</v>
      </c>
      <c r="AF5" s="66" t="s">
        <v>24</v>
      </c>
      <c r="AG5" s="161" t="s">
        <v>658</v>
      </c>
      <c r="AH5" s="161"/>
      <c r="AI5" s="161"/>
      <c r="AJ5" s="162"/>
    </row>
    <row r="6" s="1" customFormat="1" ht="60" customHeight="1" spans="1:36">
      <c r="A6" s="69" t="s">
        <v>26</v>
      </c>
      <c r="B6" s="70" t="s">
        <v>659</v>
      </c>
      <c r="C6" s="71"/>
      <c r="D6" s="71"/>
      <c r="E6" s="71"/>
      <c r="F6" s="182"/>
      <c r="G6" s="183"/>
      <c r="H6" s="185"/>
      <c r="I6" s="185"/>
      <c r="J6" s="185"/>
      <c r="K6" s="185"/>
      <c r="L6" s="193" t="s">
        <v>28</v>
      </c>
      <c r="M6" s="194" t="s">
        <v>660</v>
      </c>
      <c r="N6" s="248"/>
      <c r="O6" s="248"/>
      <c r="P6" s="248"/>
      <c r="Q6" s="193" t="s">
        <v>28</v>
      </c>
      <c r="R6" s="263" t="s">
        <v>661</v>
      </c>
      <c r="S6" s="263"/>
      <c r="T6" s="263"/>
      <c r="U6" s="263"/>
      <c r="V6" s="193" t="s">
        <v>28</v>
      </c>
      <c r="W6" s="200" t="s">
        <v>662</v>
      </c>
      <c r="X6" s="229"/>
      <c r="Y6" s="229"/>
      <c r="Z6" s="229"/>
      <c r="AA6" s="193" t="s">
        <v>28</v>
      </c>
      <c r="AB6" s="272" t="s">
        <v>663</v>
      </c>
      <c r="AC6" s="272"/>
      <c r="AD6" s="272"/>
      <c r="AE6" s="272"/>
      <c r="AF6" s="193"/>
      <c r="AG6" s="274"/>
      <c r="AH6" s="274"/>
      <c r="AI6" s="274"/>
      <c r="AJ6" s="275"/>
    </row>
    <row r="7" s="1" customFormat="1" ht="20" customHeight="1" spans="1:36">
      <c r="A7" s="69" t="s">
        <v>33</v>
      </c>
      <c r="B7" s="72" t="s">
        <v>664</v>
      </c>
      <c r="C7" s="72"/>
      <c r="D7" s="72"/>
      <c r="E7" s="72"/>
      <c r="F7" s="180" t="s">
        <v>35</v>
      </c>
      <c r="G7" s="179" t="s">
        <v>36</v>
      </c>
      <c r="H7" s="61"/>
      <c r="I7" s="61"/>
      <c r="J7" s="61"/>
      <c r="K7" s="61"/>
      <c r="L7" s="106" t="s">
        <v>665</v>
      </c>
      <c r="M7" s="61"/>
      <c r="N7" s="61"/>
      <c r="O7" s="61"/>
      <c r="P7" s="61"/>
      <c r="Q7" s="106" t="s">
        <v>666</v>
      </c>
      <c r="R7" s="61"/>
      <c r="S7" s="61"/>
      <c r="T7" s="61"/>
      <c r="U7" s="61"/>
      <c r="V7" s="106" t="s">
        <v>667</v>
      </c>
      <c r="W7" s="61"/>
      <c r="X7" s="61"/>
      <c r="Y7" s="61"/>
      <c r="Z7" s="61"/>
      <c r="AA7" s="106" t="s">
        <v>668</v>
      </c>
      <c r="AB7" s="61"/>
      <c r="AC7" s="61"/>
      <c r="AD7" s="61"/>
      <c r="AE7" s="61"/>
      <c r="AF7" s="61" t="s">
        <v>41</v>
      </c>
      <c r="AG7" s="61"/>
      <c r="AH7" s="61"/>
      <c r="AI7" s="61"/>
      <c r="AJ7" s="115"/>
    </row>
    <row r="8" s="1" customFormat="1" ht="60" customHeight="1" spans="1:36">
      <c r="A8" s="69"/>
      <c r="B8" s="72"/>
      <c r="C8" s="72"/>
      <c r="D8" s="72"/>
      <c r="E8" s="72"/>
      <c r="F8" s="180"/>
      <c r="G8" s="181" t="s">
        <v>11</v>
      </c>
      <c r="H8" s="67" t="s">
        <v>669</v>
      </c>
      <c r="I8" s="67"/>
      <c r="J8" s="67"/>
      <c r="K8" s="67"/>
      <c r="L8" s="66" t="s">
        <v>13</v>
      </c>
      <c r="M8" s="98">
        <v>1</v>
      </c>
      <c r="N8" s="99">
        <v>0</v>
      </c>
      <c r="O8" s="66" t="s">
        <v>14</v>
      </c>
      <c r="P8" s="100" t="s">
        <v>44</v>
      </c>
      <c r="Q8" s="66" t="s">
        <v>13</v>
      </c>
      <c r="R8" s="98">
        <v>0</v>
      </c>
      <c r="S8" s="99">
        <v>1</v>
      </c>
      <c r="T8" s="66" t="s">
        <v>14</v>
      </c>
      <c r="U8" s="100" t="s">
        <v>44</v>
      </c>
      <c r="V8" s="66" t="s">
        <v>13</v>
      </c>
      <c r="W8" s="98">
        <v>0</v>
      </c>
      <c r="X8" s="99">
        <v>1</v>
      </c>
      <c r="Y8" s="66" t="s">
        <v>14</v>
      </c>
      <c r="Z8" s="100" t="s">
        <v>44</v>
      </c>
      <c r="AA8" s="66" t="s">
        <v>13</v>
      </c>
      <c r="AB8" s="98">
        <v>1</v>
      </c>
      <c r="AC8" s="99">
        <v>0</v>
      </c>
      <c r="AD8" s="66" t="s">
        <v>14</v>
      </c>
      <c r="AE8" s="100" t="str">
        <f>_xlfn.DISPIMG("ID_A44094FD27CB4749AB4C5CCF7AC577A9",1)</f>
        <v>=DISPIMG("ID_A44094FD27CB4749AB4C5CCF7AC577A9",1)</v>
      </c>
      <c r="AF8" s="66" t="s">
        <v>16</v>
      </c>
      <c r="AG8" s="159" t="s">
        <v>670</v>
      </c>
      <c r="AH8" s="159"/>
      <c r="AI8" s="159"/>
      <c r="AJ8" s="160"/>
    </row>
    <row r="9" s="1" customFormat="1" ht="60" customHeight="1" spans="1:36">
      <c r="A9" s="69"/>
      <c r="B9" s="72"/>
      <c r="C9" s="72"/>
      <c r="D9" s="72"/>
      <c r="E9" s="72"/>
      <c r="F9" s="180"/>
      <c r="G9" s="181" t="s">
        <v>18</v>
      </c>
      <c r="H9" s="68" t="s">
        <v>671</v>
      </c>
      <c r="I9" s="68"/>
      <c r="J9" s="68"/>
      <c r="K9" s="68"/>
      <c r="L9" s="66" t="s">
        <v>20</v>
      </c>
      <c r="M9" s="101">
        <v>3</v>
      </c>
      <c r="N9" s="102">
        <v>0</v>
      </c>
      <c r="O9" s="66" t="s">
        <v>21</v>
      </c>
      <c r="P9" s="100" t="s">
        <v>496</v>
      </c>
      <c r="Q9" s="66" t="s">
        <v>20</v>
      </c>
      <c r="R9" s="101">
        <v>3</v>
      </c>
      <c r="S9" s="102">
        <v>0</v>
      </c>
      <c r="T9" s="66" t="s">
        <v>21</v>
      </c>
      <c r="U9" s="100" t="s">
        <v>496</v>
      </c>
      <c r="V9" s="66" t="s">
        <v>20</v>
      </c>
      <c r="W9" s="101">
        <v>4</v>
      </c>
      <c r="X9" s="102">
        <v>0</v>
      </c>
      <c r="Y9" s="66" t="s">
        <v>21</v>
      </c>
      <c r="Z9" s="100" t="str">
        <f>_xlfn.DISPIMG("ID_C0EBE7662F85411690D10D087CB847FF",1)</f>
        <v>=DISPIMG("ID_C0EBE7662F85411690D10D087CB847FF",1)</v>
      </c>
      <c r="AA9" s="66" t="s">
        <v>20</v>
      </c>
      <c r="AB9" s="101">
        <v>5</v>
      </c>
      <c r="AC9" s="102">
        <v>1</v>
      </c>
      <c r="AD9" s="66" t="s">
        <v>21</v>
      </c>
      <c r="AE9" s="100" t="s">
        <v>672</v>
      </c>
      <c r="AF9" s="66" t="s">
        <v>24</v>
      </c>
      <c r="AG9" s="161" t="s">
        <v>673</v>
      </c>
      <c r="AH9" s="161"/>
      <c r="AI9" s="161"/>
      <c r="AJ9" s="162"/>
    </row>
    <row r="10" s="1" customFormat="1" ht="60" customHeight="1" spans="1:36">
      <c r="A10" s="69" t="s">
        <v>49</v>
      </c>
      <c r="B10" s="70" t="s">
        <v>526</v>
      </c>
      <c r="C10" s="71"/>
      <c r="D10" s="71"/>
      <c r="E10" s="71"/>
      <c r="F10" s="180"/>
      <c r="G10" s="183"/>
      <c r="H10" s="185"/>
      <c r="I10" s="185"/>
      <c r="J10" s="185"/>
      <c r="K10" s="185"/>
      <c r="L10" s="193" t="s">
        <v>28</v>
      </c>
      <c r="M10" s="234" t="s">
        <v>674</v>
      </c>
      <c r="N10" s="234"/>
      <c r="O10" s="234"/>
      <c r="P10" s="234"/>
      <c r="Q10" s="193" t="s">
        <v>28</v>
      </c>
      <c r="R10" s="195" t="s">
        <v>675</v>
      </c>
      <c r="S10" s="229"/>
      <c r="T10" s="229"/>
      <c r="U10" s="229"/>
      <c r="V10" s="193" t="s">
        <v>28</v>
      </c>
      <c r="W10" s="264" t="s">
        <v>676</v>
      </c>
      <c r="X10" s="265"/>
      <c r="Y10" s="265"/>
      <c r="Z10" s="265"/>
      <c r="AA10" s="193" t="s">
        <v>28</v>
      </c>
      <c r="AB10" s="195" t="s">
        <v>677</v>
      </c>
      <c r="AC10" s="195"/>
      <c r="AD10" s="195"/>
      <c r="AE10" s="195"/>
      <c r="AF10" s="193"/>
      <c r="AG10" s="274"/>
      <c r="AH10" s="274"/>
      <c r="AI10" s="274"/>
      <c r="AJ10" s="275"/>
    </row>
    <row r="11" s="1" customFormat="1" ht="20" customHeight="1" spans="1:36">
      <c r="A11" s="78"/>
      <c r="B11" s="78"/>
      <c r="C11" s="78"/>
      <c r="D11" s="78"/>
      <c r="E11" s="78"/>
      <c r="F11" s="186" t="s">
        <v>55</v>
      </c>
      <c r="G11" s="179" t="s">
        <v>56</v>
      </c>
      <c r="H11" s="61"/>
      <c r="I11" s="61"/>
      <c r="J11" s="61"/>
      <c r="K11" s="61"/>
      <c r="L11" s="106" t="s">
        <v>678</v>
      </c>
      <c r="M11" s="61"/>
      <c r="N11" s="61"/>
      <c r="O11" s="61"/>
      <c r="P11" s="61"/>
      <c r="Q11" s="106" t="s">
        <v>679</v>
      </c>
      <c r="R11" s="61"/>
      <c r="S11" s="61"/>
      <c r="T11" s="61"/>
      <c r="U11" s="61"/>
      <c r="V11" s="106" t="s">
        <v>680</v>
      </c>
      <c r="W11" s="61"/>
      <c r="X11" s="61"/>
      <c r="Y11" s="61"/>
      <c r="Z11" s="61"/>
      <c r="AA11" s="106" t="s">
        <v>681</v>
      </c>
      <c r="AB11" s="61"/>
      <c r="AC11" s="61"/>
      <c r="AD11" s="61"/>
      <c r="AE11" s="61"/>
      <c r="AF11" s="61" t="s">
        <v>61</v>
      </c>
      <c r="AG11" s="61"/>
      <c r="AH11" s="61"/>
      <c r="AI11" s="61"/>
      <c r="AJ11" s="115"/>
    </row>
    <row r="12" s="1" customFormat="1" ht="60" customHeight="1" spans="1:36">
      <c r="A12" s="79" t="s">
        <v>62</v>
      </c>
      <c r="B12" s="80" t="str">
        <f>_xlfn.DISPIMG("ID_742E90CBE26740019D9A1FE04E8C995D",1)</f>
        <v>=DISPIMG("ID_742E90CBE26740019D9A1FE04E8C995D",1)</v>
      </c>
      <c r="C12" s="80"/>
      <c r="D12" s="80"/>
      <c r="E12" s="80"/>
      <c r="F12" s="180"/>
      <c r="G12" s="181" t="s">
        <v>11</v>
      </c>
      <c r="H12" s="74" t="s">
        <v>682</v>
      </c>
      <c r="I12" s="74"/>
      <c r="J12" s="74"/>
      <c r="K12" s="74"/>
      <c r="L12" s="66" t="s">
        <v>13</v>
      </c>
      <c r="M12" s="98">
        <v>1</v>
      </c>
      <c r="N12" s="99">
        <v>0</v>
      </c>
      <c r="O12" s="66" t="s">
        <v>14</v>
      </c>
      <c r="P12" s="100" t="s">
        <v>44</v>
      </c>
      <c r="Q12" s="66" t="s">
        <v>13</v>
      </c>
      <c r="R12" s="98">
        <v>0</v>
      </c>
      <c r="S12" s="99">
        <v>1</v>
      </c>
      <c r="T12" s="66" t="s">
        <v>14</v>
      </c>
      <c r="U12" s="100" t="s">
        <v>44</v>
      </c>
      <c r="V12" s="66" t="s">
        <v>13</v>
      </c>
      <c r="W12" s="98">
        <v>1</v>
      </c>
      <c r="X12" s="99">
        <v>0</v>
      </c>
      <c r="Y12" s="66" t="s">
        <v>14</v>
      </c>
      <c r="Z12" s="100" t="s">
        <v>44</v>
      </c>
      <c r="AA12" s="66" t="s">
        <v>13</v>
      </c>
      <c r="AB12" s="98">
        <v>1</v>
      </c>
      <c r="AC12" s="99">
        <v>0</v>
      </c>
      <c r="AD12" s="66" t="s">
        <v>14</v>
      </c>
      <c r="AE12" s="100" t="s">
        <v>44</v>
      </c>
      <c r="AF12" s="66" t="s">
        <v>16</v>
      </c>
      <c r="AG12" s="88" t="s">
        <v>683</v>
      </c>
      <c r="AH12" s="88"/>
      <c r="AI12" s="88"/>
      <c r="AJ12" s="210"/>
    </row>
    <row r="13" s="1" customFormat="1" ht="60" customHeight="1" spans="1:36">
      <c r="A13" s="82"/>
      <c r="B13" s="80"/>
      <c r="C13" s="80"/>
      <c r="D13" s="80"/>
      <c r="E13" s="80"/>
      <c r="F13" s="180"/>
      <c r="G13" s="181" t="s">
        <v>18</v>
      </c>
      <c r="H13" s="127" t="s">
        <v>684</v>
      </c>
      <c r="I13" s="127"/>
      <c r="J13" s="127"/>
      <c r="K13" s="127"/>
      <c r="L13" s="66" t="s">
        <v>20</v>
      </c>
      <c r="M13" s="101">
        <v>6</v>
      </c>
      <c r="N13" s="102">
        <v>0</v>
      </c>
      <c r="O13" s="66" t="s">
        <v>21</v>
      </c>
      <c r="P13" s="100" t="s">
        <v>22</v>
      </c>
      <c r="Q13" s="66" t="s">
        <v>20</v>
      </c>
      <c r="R13" s="101">
        <v>1</v>
      </c>
      <c r="S13" s="102">
        <v>0</v>
      </c>
      <c r="T13" s="66" t="s">
        <v>21</v>
      </c>
      <c r="U13" s="100" t="s">
        <v>496</v>
      </c>
      <c r="V13" s="66" t="s">
        <v>20</v>
      </c>
      <c r="W13" s="101">
        <v>2</v>
      </c>
      <c r="X13" s="102">
        <v>0</v>
      </c>
      <c r="Y13" s="66" t="s">
        <v>21</v>
      </c>
      <c r="Z13" s="100" t="s">
        <v>510</v>
      </c>
      <c r="AA13" s="66" t="s">
        <v>20</v>
      </c>
      <c r="AB13" s="101">
        <v>5</v>
      </c>
      <c r="AC13" s="102">
        <v>1</v>
      </c>
      <c r="AD13" s="66" t="s">
        <v>21</v>
      </c>
      <c r="AE13" s="100" t="s">
        <v>510</v>
      </c>
      <c r="AF13" s="66" t="s">
        <v>24</v>
      </c>
      <c r="AG13" s="276" t="s">
        <v>685</v>
      </c>
      <c r="AH13" s="276"/>
      <c r="AI13" s="276"/>
      <c r="AJ13" s="277"/>
    </row>
    <row r="14" s="1" customFormat="1" ht="60" customHeight="1" spans="1:36">
      <c r="A14" s="82"/>
      <c r="B14" s="80"/>
      <c r="C14" s="80"/>
      <c r="D14" s="80"/>
      <c r="E14" s="80"/>
      <c r="F14" s="182"/>
      <c r="G14" s="183"/>
      <c r="H14" s="184"/>
      <c r="I14" s="184"/>
      <c r="J14" s="184"/>
      <c r="K14" s="184"/>
      <c r="L14" s="193" t="s">
        <v>28</v>
      </c>
      <c r="M14" s="195" t="s">
        <v>686</v>
      </c>
      <c r="N14" s="195"/>
      <c r="O14" s="195"/>
      <c r="P14" s="195"/>
      <c r="Q14" s="193" t="s">
        <v>28</v>
      </c>
      <c r="R14" s="194" t="s">
        <v>687</v>
      </c>
      <c r="S14" s="194"/>
      <c r="T14" s="194"/>
      <c r="U14" s="194"/>
      <c r="V14" s="193" t="s">
        <v>28</v>
      </c>
      <c r="W14" s="263" t="s">
        <v>688</v>
      </c>
      <c r="X14" s="263"/>
      <c r="Y14" s="263"/>
      <c r="Z14" s="263"/>
      <c r="AA14" s="193" t="s">
        <v>28</v>
      </c>
      <c r="AB14" s="272" t="s">
        <v>689</v>
      </c>
      <c r="AC14" s="272"/>
      <c r="AD14" s="272"/>
      <c r="AE14" s="272"/>
      <c r="AF14" s="193"/>
      <c r="AG14" s="278"/>
      <c r="AH14" s="278"/>
      <c r="AI14" s="278"/>
      <c r="AJ14" s="279"/>
    </row>
    <row r="15" s="1" customFormat="1" ht="20" customHeight="1" spans="1:36">
      <c r="A15" s="83"/>
      <c r="B15" s="83"/>
      <c r="C15" s="83"/>
      <c r="D15" s="83"/>
      <c r="E15" s="83"/>
      <c r="F15" s="180" t="s">
        <v>77</v>
      </c>
      <c r="G15" s="179" t="s">
        <v>78</v>
      </c>
      <c r="H15" s="61"/>
      <c r="I15" s="61"/>
      <c r="J15" s="61"/>
      <c r="K15" s="61"/>
      <c r="L15" s="106" t="s">
        <v>690</v>
      </c>
      <c r="M15" s="61"/>
      <c r="N15" s="61"/>
      <c r="O15" s="61"/>
      <c r="P15" s="61"/>
      <c r="Q15" s="106" t="s">
        <v>691</v>
      </c>
      <c r="R15" s="61"/>
      <c r="S15" s="61"/>
      <c r="T15" s="61"/>
      <c r="U15" s="61"/>
      <c r="V15" s="106" t="s">
        <v>692</v>
      </c>
      <c r="W15" s="61"/>
      <c r="X15" s="61"/>
      <c r="Y15" s="61"/>
      <c r="Z15" s="61"/>
      <c r="AA15" s="106" t="s">
        <v>693</v>
      </c>
      <c r="AB15" s="61"/>
      <c r="AC15" s="61"/>
      <c r="AD15" s="61"/>
      <c r="AE15" s="61"/>
      <c r="AF15" s="61" t="s">
        <v>78</v>
      </c>
      <c r="AG15" s="61"/>
      <c r="AH15" s="61"/>
      <c r="AI15" s="61"/>
      <c r="AJ15" s="115"/>
    </row>
    <row r="16" s="1" customFormat="1" ht="60" customHeight="1" spans="1:36">
      <c r="A16" s="85" t="s">
        <v>83</v>
      </c>
      <c r="B16" s="86" t="s">
        <v>88</v>
      </c>
      <c r="C16" s="87"/>
      <c r="D16" s="87"/>
      <c r="E16" s="87"/>
      <c r="F16" s="180"/>
      <c r="G16" s="181" t="s">
        <v>11</v>
      </c>
      <c r="H16" s="88" t="s">
        <v>694</v>
      </c>
      <c r="I16" s="88"/>
      <c r="J16" s="88"/>
      <c r="K16" s="88"/>
      <c r="L16" s="66" t="s">
        <v>13</v>
      </c>
      <c r="M16" s="98">
        <v>1</v>
      </c>
      <c r="N16" s="99">
        <v>0</v>
      </c>
      <c r="O16" s="66" t="s">
        <v>14</v>
      </c>
      <c r="P16" s="100" t="s">
        <v>44</v>
      </c>
      <c r="Q16" s="66" t="s">
        <v>13</v>
      </c>
      <c r="R16" s="98">
        <v>1</v>
      </c>
      <c r="S16" s="99">
        <v>0</v>
      </c>
      <c r="T16" s="66" t="s">
        <v>14</v>
      </c>
      <c r="U16" s="100" t="s">
        <v>44</v>
      </c>
      <c r="V16" s="66" t="s">
        <v>13</v>
      </c>
      <c r="W16" s="98">
        <v>0</v>
      </c>
      <c r="X16" s="99">
        <v>1</v>
      </c>
      <c r="Y16" s="66" t="s">
        <v>14</v>
      </c>
      <c r="Z16" s="100" t="s">
        <v>161</v>
      </c>
      <c r="AA16" s="66" t="s">
        <v>13</v>
      </c>
      <c r="AB16" s="98">
        <v>1</v>
      </c>
      <c r="AC16" s="99">
        <v>0</v>
      </c>
      <c r="AD16" s="66" t="s">
        <v>14</v>
      </c>
      <c r="AE16" s="100" t="s">
        <v>44</v>
      </c>
      <c r="AF16" s="66" t="s">
        <v>16</v>
      </c>
      <c r="AG16" s="159" t="s">
        <v>695</v>
      </c>
      <c r="AH16" s="159"/>
      <c r="AI16" s="159"/>
      <c r="AJ16" s="160"/>
    </row>
    <row r="17" s="1" customFormat="1" ht="60" customHeight="1" spans="1:36">
      <c r="A17" s="85" t="s">
        <v>87</v>
      </c>
      <c r="B17" s="86" t="s">
        <v>88</v>
      </c>
      <c r="C17" s="87"/>
      <c r="D17" s="87"/>
      <c r="E17" s="87"/>
      <c r="F17" s="180"/>
      <c r="G17" s="181" t="s">
        <v>18</v>
      </c>
      <c r="H17" s="246" t="s">
        <v>696</v>
      </c>
      <c r="I17" s="246"/>
      <c r="J17" s="246"/>
      <c r="K17" s="246"/>
      <c r="L17" s="66" t="s">
        <v>20</v>
      </c>
      <c r="M17" s="101">
        <v>5</v>
      </c>
      <c r="N17" s="102">
        <v>0</v>
      </c>
      <c r="O17" s="66" t="s">
        <v>21</v>
      </c>
      <c r="P17" s="100" t="str">
        <f>_xlfn.DISPIMG("ID_7E26653402B64D76AC771E9392B5B49A",1)</f>
        <v>=DISPIMG("ID_7E26653402B64D76AC771E9392B5B49A",1)</v>
      </c>
      <c r="Q17" s="66" t="s">
        <v>20</v>
      </c>
      <c r="R17" s="101">
        <v>8</v>
      </c>
      <c r="S17" s="102">
        <v>1</v>
      </c>
      <c r="T17" s="66" t="s">
        <v>21</v>
      </c>
      <c r="U17" s="100" t="s">
        <v>496</v>
      </c>
      <c r="V17" s="66" t="s">
        <v>20</v>
      </c>
      <c r="W17" s="101">
        <v>2</v>
      </c>
      <c r="X17" s="102">
        <v>0</v>
      </c>
      <c r="Y17" s="66" t="s">
        <v>21</v>
      </c>
      <c r="Z17" s="100" t="s">
        <v>697</v>
      </c>
      <c r="AA17" s="66" t="s">
        <v>20</v>
      </c>
      <c r="AB17" s="101">
        <v>6</v>
      </c>
      <c r="AC17" s="102">
        <v>1</v>
      </c>
      <c r="AD17" s="66" t="s">
        <v>21</v>
      </c>
      <c r="AE17" s="100" t="str">
        <f>_xlfn.DISPIMG("ID_324AF5E1317449D68C4E7F15E04A1C5B",1)</f>
        <v>=DISPIMG("ID_324AF5E1317449D68C4E7F15E04A1C5B",1)</v>
      </c>
      <c r="AF17" s="66" t="s">
        <v>24</v>
      </c>
      <c r="AG17" s="161" t="s">
        <v>698</v>
      </c>
      <c r="AH17" s="161"/>
      <c r="AI17" s="161"/>
      <c r="AJ17" s="162"/>
    </row>
    <row r="18" s="1" customFormat="1" ht="60" customHeight="1" spans="1:36">
      <c r="A18" s="90" t="s">
        <v>151</v>
      </c>
      <c r="B18" s="91" t="s">
        <v>699</v>
      </c>
      <c r="C18" s="92"/>
      <c r="D18" s="92"/>
      <c r="E18" s="92"/>
      <c r="F18" s="189"/>
      <c r="G18" s="190"/>
      <c r="H18" s="247"/>
      <c r="I18" s="247"/>
      <c r="J18" s="247"/>
      <c r="K18" s="247"/>
      <c r="L18" s="94" t="s">
        <v>28</v>
      </c>
      <c r="M18" s="207" t="s">
        <v>700</v>
      </c>
      <c r="N18" s="249"/>
      <c r="O18" s="249"/>
      <c r="P18" s="249"/>
      <c r="Q18" s="193" t="s">
        <v>28</v>
      </c>
      <c r="R18" s="194" t="s">
        <v>701</v>
      </c>
      <c r="S18" s="248"/>
      <c r="T18" s="248"/>
      <c r="U18" s="248"/>
      <c r="V18" s="94" t="s">
        <v>28</v>
      </c>
      <c r="W18" s="266" t="s">
        <v>702</v>
      </c>
      <c r="X18" s="267"/>
      <c r="Y18" s="267"/>
      <c r="Z18" s="267"/>
      <c r="AA18" s="94" t="s">
        <v>28</v>
      </c>
      <c r="AB18" s="273" t="s">
        <v>703</v>
      </c>
      <c r="AC18" s="266"/>
      <c r="AD18" s="266"/>
      <c r="AE18" s="266"/>
      <c r="AF18" s="193"/>
      <c r="AG18" s="280"/>
      <c r="AH18" s="280"/>
      <c r="AI18" s="280"/>
      <c r="AJ18" s="281"/>
    </row>
    <row r="19" spans="13:17">
      <c r="M19" s="250" t="s">
        <v>704</v>
      </c>
      <c r="N19" s="251" t="s">
        <v>219</v>
      </c>
      <c r="O19" s="251" t="s">
        <v>220</v>
      </c>
      <c r="P19" s="251"/>
      <c r="Q19" s="251"/>
    </row>
    <row r="20" spans="13:17">
      <c r="M20" s="252" t="str">
        <f>_xlfn.DISPIMG("ID_38C1CA259B3E4194A01F00D33E6D83C1",1)</f>
        <v>=DISPIMG("ID_38C1CA259B3E4194A01F00D33E6D83C1",1)</v>
      </c>
      <c r="N20" s="253" t="s">
        <v>705</v>
      </c>
      <c r="O20" s="254"/>
      <c r="P20" s="254"/>
      <c r="Q20" s="268"/>
    </row>
    <row r="21" spans="13:17">
      <c r="M21" s="252"/>
      <c r="N21" s="255" t="s">
        <v>342</v>
      </c>
      <c r="O21" s="256"/>
      <c r="P21" s="256"/>
      <c r="Q21" s="269"/>
    </row>
    <row r="22" spans="13:17">
      <c r="M22" s="252"/>
      <c r="N22" s="255" t="s">
        <v>343</v>
      </c>
      <c r="O22" s="256"/>
      <c r="P22" s="256"/>
      <c r="Q22" s="269"/>
    </row>
    <row r="23" spans="13:17">
      <c r="M23" s="257" t="s">
        <v>224</v>
      </c>
      <c r="N23" s="258" t="s">
        <v>706</v>
      </c>
      <c r="O23" s="259"/>
      <c r="P23" s="259"/>
      <c r="Q23" s="270"/>
    </row>
    <row r="24" ht="42.1" customHeight="1" spans="13:17">
      <c r="M24" s="260"/>
      <c r="N24" s="261"/>
      <c r="O24" s="262"/>
      <c r="P24" s="262"/>
      <c r="Q24" s="271"/>
    </row>
    <row r="47" spans="18:18">
      <c r="R47"/>
    </row>
  </sheetData>
  <sheetProtection selectLockedCells="1" formatCells="0" formatColumns="0" formatRows="0" insertRows="0" insertColumns="0" insertHyperlinks="0" deleteColumns="0" deleteRows="0" sort="0" autoFilter="0" pivotTables="0"/>
  <mergeCells count="93">
    <mergeCell ref="B1:C1"/>
    <mergeCell ref="D1:E1"/>
    <mergeCell ref="L1:P1"/>
    <mergeCell ref="Q1:U1"/>
    <mergeCell ref="V1:Z1"/>
    <mergeCell ref="AA1:AE1"/>
    <mergeCell ref="AF1:AJ1"/>
    <mergeCell ref="G3:K3"/>
    <mergeCell ref="L3:P3"/>
    <mergeCell ref="Q3:U3"/>
    <mergeCell ref="V3:Z3"/>
    <mergeCell ref="AA3:AE3"/>
    <mergeCell ref="AF3:AJ3"/>
    <mergeCell ref="H4:K4"/>
    <mergeCell ref="AG4:AJ4"/>
    <mergeCell ref="B6:E6"/>
    <mergeCell ref="M6:P6"/>
    <mergeCell ref="R6:U6"/>
    <mergeCell ref="W6:Z6"/>
    <mergeCell ref="AB6:AE6"/>
    <mergeCell ref="G7:K7"/>
    <mergeCell ref="L7:P7"/>
    <mergeCell ref="Q7:U7"/>
    <mergeCell ref="V7:Z7"/>
    <mergeCell ref="AA7:AE7"/>
    <mergeCell ref="AF7:AJ7"/>
    <mergeCell ref="H8:K8"/>
    <mergeCell ref="AG8:AJ8"/>
    <mergeCell ref="B10:E10"/>
    <mergeCell ref="M10:P10"/>
    <mergeCell ref="R10:U10"/>
    <mergeCell ref="W10:Z10"/>
    <mergeCell ref="AB10:AE10"/>
    <mergeCell ref="G11:K11"/>
    <mergeCell ref="L11:P11"/>
    <mergeCell ref="Q11:U11"/>
    <mergeCell ref="V11:Z11"/>
    <mergeCell ref="AA11:AE11"/>
    <mergeCell ref="AF11:AJ11"/>
    <mergeCell ref="H12:K12"/>
    <mergeCell ref="AG12:AJ12"/>
    <mergeCell ref="M14:P14"/>
    <mergeCell ref="R14:U14"/>
    <mergeCell ref="W14:Z14"/>
    <mergeCell ref="AB14:AE14"/>
    <mergeCell ref="G15:K15"/>
    <mergeCell ref="L15:P15"/>
    <mergeCell ref="Q15:U15"/>
    <mergeCell ref="V15:Z15"/>
    <mergeCell ref="AA15:AE15"/>
    <mergeCell ref="AF15:AJ15"/>
    <mergeCell ref="B16:E16"/>
    <mergeCell ref="H16:K16"/>
    <mergeCell ref="AG16:AJ16"/>
    <mergeCell ref="B17:E17"/>
    <mergeCell ref="B18:E18"/>
    <mergeCell ref="M18:P18"/>
    <mergeCell ref="R18:U18"/>
    <mergeCell ref="W18:Z18"/>
    <mergeCell ref="AB18:AE18"/>
    <mergeCell ref="O19:Q19"/>
    <mergeCell ref="N20:Q20"/>
    <mergeCell ref="N21:Q21"/>
    <mergeCell ref="N22:Q22"/>
    <mergeCell ref="A7:A9"/>
    <mergeCell ref="A12:A14"/>
    <mergeCell ref="F3:F6"/>
    <mergeCell ref="F7:F10"/>
    <mergeCell ref="F11:F14"/>
    <mergeCell ref="F15:F18"/>
    <mergeCell ref="G5:G6"/>
    <mergeCell ref="G9:G10"/>
    <mergeCell ref="G13:G14"/>
    <mergeCell ref="G17:G18"/>
    <mergeCell ref="M20:M22"/>
    <mergeCell ref="M23:M24"/>
    <mergeCell ref="AF5:AF6"/>
    <mergeCell ref="AF9:AF10"/>
    <mergeCell ref="AF13:AF14"/>
    <mergeCell ref="AF17:AF18"/>
    <mergeCell ref="A4:B5"/>
    <mergeCell ref="C4:E5"/>
    <mergeCell ref="H5:K6"/>
    <mergeCell ref="AG5:AJ6"/>
    <mergeCell ref="B7:E9"/>
    <mergeCell ref="H9:K10"/>
    <mergeCell ref="AG9:AJ10"/>
    <mergeCell ref="B12:E14"/>
    <mergeCell ref="H13:K14"/>
    <mergeCell ref="AG13:AJ14"/>
    <mergeCell ref="H17:K18"/>
    <mergeCell ref="AG17:AJ18"/>
    <mergeCell ref="N23:Q24"/>
  </mergeCells>
  <conditionalFormatting sqref="M4:N5 R4:S5 M8:N9 R8:S9 W4:X5 W8:X9 M12:N13 R12:S13 W12:X13 M16:N17 R16:S17 W16:X17">
    <cfRule type="cellIs" dxfId="1" priority="4" operator="equal">
      <formula>0</formula>
    </cfRule>
  </conditionalFormatting>
  <conditionalFormatting sqref="M4 R4 W4 AB4 AB8 W8 R8 M8 M12 R12 W12 AB12 M16 R16 W16 AB16">
    <cfRule type="cellIs" dxfId="0" priority="1" operator="equal">
      <formula>0</formula>
    </cfRule>
  </conditionalFormatting>
  <conditionalFormatting sqref="N4 S4 X4 AC4 AC8 X8 N8 N12 S12 S8 X12 AC12 AC16 X16 S16 N16">
    <cfRule type="cellIs" dxfId="0" priority="2" operator="equal">
      <formula>0</formula>
    </cfRule>
  </conditionalFormatting>
  <conditionalFormatting sqref="AB4:AC5 AB8:AC9 AB12:AC13 AB16:AC17">
    <cfRule type="cellIs" dxfId="1" priority="3" operator="equal">
      <formula>0</formula>
    </cfRule>
  </conditionalFormatting>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25"/>
  </sheetPr>
  <dimension ref="A1:AJ47"/>
  <sheetViews>
    <sheetView showGridLines="0" zoomScale="70" zoomScaleNormal="70" topLeftCell="D2" workbookViewId="0">
      <selection activeCell="R6" sqref="R6:U6"/>
    </sheetView>
  </sheetViews>
  <sheetFormatPr defaultColWidth="8.89090909090909" defaultRowHeight="16.5"/>
  <cols>
    <col min="1" max="5" width="10" style="1" customWidth="1"/>
    <col min="6" max="7" width="5" style="1" customWidth="1"/>
    <col min="8" max="11" width="10" style="1" customWidth="1"/>
    <col min="12" max="12" width="5" style="1" customWidth="1"/>
    <col min="13" max="14" width="10" style="1" customWidth="1"/>
    <col min="15" max="15" width="5" style="1" customWidth="1"/>
    <col min="16" max="16" width="20" style="1" customWidth="1"/>
    <col min="17" max="17" width="5" style="1" customWidth="1"/>
    <col min="18" max="19" width="10" style="1" customWidth="1"/>
    <col min="20" max="20" width="5" style="1" customWidth="1"/>
    <col min="21" max="21" width="20" style="1" customWidth="1"/>
    <col min="22" max="22" width="5" style="1" customWidth="1"/>
    <col min="23" max="24" width="10" style="1" customWidth="1"/>
    <col min="25" max="25" width="5" style="1" customWidth="1"/>
    <col min="26" max="26" width="20" style="1" customWidth="1"/>
    <col min="27" max="27" width="5" style="1" customWidth="1"/>
    <col min="28" max="29" width="10" style="1" customWidth="1"/>
    <col min="30" max="30" width="5" style="1" customWidth="1"/>
    <col min="31" max="31" width="20" style="1" customWidth="1"/>
    <col min="32" max="32" width="5" style="1" customWidth="1"/>
    <col min="33" max="36" width="10" style="1" customWidth="1"/>
    <col min="37" max="16384" width="8.89090909090909" style="1"/>
  </cols>
  <sheetData>
    <row r="1" s="1" customFormat="1" ht="60" customHeight="1" spans="1:36">
      <c r="A1" s="174" t="str">
        <f>_xlfn.DISPIMG("ID_52415B6A2B1D4D28A07C36CA61249B08",1)</f>
        <v>=DISPIMG("ID_52415B6A2B1D4D28A07C36CA61249B08",1)</v>
      </c>
      <c r="B1" s="54" t="s">
        <v>648</v>
      </c>
      <c r="C1" s="54"/>
      <c r="D1" s="175" t="s">
        <v>649</v>
      </c>
      <c r="E1" s="176"/>
      <c r="F1" s="5"/>
      <c r="G1" s="1"/>
      <c r="H1" s="1"/>
      <c r="I1" s="1"/>
      <c r="J1" s="1"/>
      <c r="K1" s="1"/>
      <c r="L1" s="109"/>
      <c r="M1" s="5"/>
      <c r="N1" s="5"/>
      <c r="O1" s="5"/>
      <c r="P1" s="5"/>
      <c r="Q1" s="109"/>
      <c r="R1" s="5"/>
      <c r="S1" s="5"/>
      <c r="T1" s="5"/>
      <c r="U1" s="5"/>
      <c r="V1" s="109"/>
      <c r="W1" s="5"/>
      <c r="X1" s="5"/>
      <c r="Y1" s="5"/>
      <c r="Z1" s="5"/>
      <c r="AA1" s="109"/>
      <c r="AB1" s="5"/>
      <c r="AC1" s="5"/>
      <c r="AD1" s="5"/>
      <c r="AE1" s="5"/>
      <c r="AF1" s="205" t="s">
        <v>227</v>
      </c>
      <c r="AG1" s="208"/>
      <c r="AH1" s="208"/>
      <c r="AI1" s="208"/>
      <c r="AJ1" s="208"/>
    </row>
    <row r="2" s="1" customFormat="1" ht="15" customHeight="1" spans="1:36">
      <c r="A2" s="58"/>
      <c r="B2" s="58"/>
      <c r="C2" s="58"/>
      <c r="D2" s="58"/>
      <c r="E2" s="58"/>
      <c r="F2" s="177"/>
      <c r="G2" s="177"/>
      <c r="H2" s="177"/>
      <c r="I2" s="177"/>
      <c r="J2" s="177"/>
      <c r="K2" s="177"/>
      <c r="L2" s="192"/>
      <c r="M2" s="192"/>
      <c r="N2" s="192"/>
      <c r="O2" s="192"/>
      <c r="P2" s="192"/>
      <c r="Q2" s="192"/>
      <c r="R2" s="192"/>
      <c r="S2" s="192"/>
      <c r="T2" s="192"/>
      <c r="U2" s="192"/>
      <c r="V2" s="192"/>
      <c r="W2" s="192"/>
      <c r="X2" s="192"/>
      <c r="Y2" s="192"/>
      <c r="Z2" s="192"/>
      <c r="AA2" s="192"/>
      <c r="AB2" s="192"/>
      <c r="AC2" s="192"/>
      <c r="AD2" s="192"/>
      <c r="AE2" s="192"/>
      <c r="AF2" s="206"/>
      <c r="AG2" s="206"/>
      <c r="AH2" s="206"/>
      <c r="AI2" s="206"/>
      <c r="AJ2" s="209"/>
    </row>
    <row r="3" s="1" customFormat="1" ht="20" customHeight="1" spans="1:36">
      <c r="A3" s="58"/>
      <c r="B3" s="58"/>
      <c r="C3" s="58"/>
      <c r="D3" s="58"/>
      <c r="E3" s="58"/>
      <c r="F3" s="220" t="s">
        <v>3</v>
      </c>
      <c r="G3" s="221" t="s">
        <v>4</v>
      </c>
      <c r="H3" s="222"/>
      <c r="I3" s="222"/>
      <c r="J3" s="222"/>
      <c r="K3" s="222"/>
      <c r="L3" s="222" t="s">
        <v>707</v>
      </c>
      <c r="M3" s="222"/>
      <c r="N3" s="222"/>
      <c r="O3" s="222"/>
      <c r="P3" s="222"/>
      <c r="Q3" s="222" t="s">
        <v>708</v>
      </c>
      <c r="R3" s="222"/>
      <c r="S3" s="222"/>
      <c r="T3" s="222"/>
      <c r="U3" s="222"/>
      <c r="V3" s="222" t="s">
        <v>709</v>
      </c>
      <c r="W3" s="222"/>
      <c r="X3" s="222"/>
      <c r="Y3" s="222"/>
      <c r="Z3" s="222"/>
      <c r="AA3" s="222" t="s">
        <v>710</v>
      </c>
      <c r="AB3" s="222"/>
      <c r="AC3" s="222"/>
      <c r="AD3" s="222"/>
      <c r="AE3" s="222"/>
      <c r="AF3" s="222" t="s">
        <v>9</v>
      </c>
      <c r="AG3" s="222"/>
      <c r="AH3" s="222"/>
      <c r="AI3" s="222"/>
      <c r="AJ3" s="238"/>
    </row>
    <row r="4" s="1" customFormat="1" ht="60" customHeight="1" spans="1:36">
      <c r="A4" s="62" t="str">
        <f>_xlfn.DISPIMG("ID_E589E60172CD444DA37C4947670D4A1E",1)</f>
        <v>=DISPIMG("ID_E589E60172CD444DA37C4947670D4A1E",1)</v>
      </c>
      <c r="B4" s="62"/>
      <c r="C4" s="63" t="s">
        <v>711</v>
      </c>
      <c r="D4" s="64"/>
      <c r="E4" s="64"/>
      <c r="F4" s="180"/>
      <c r="G4" s="181" t="s">
        <v>11</v>
      </c>
      <c r="H4" s="67" t="s">
        <v>712</v>
      </c>
      <c r="I4" s="74"/>
      <c r="J4" s="74"/>
      <c r="K4" s="74"/>
      <c r="L4" s="66" t="s">
        <v>13</v>
      </c>
      <c r="M4" s="98">
        <v>1</v>
      </c>
      <c r="N4" s="99">
        <v>0</v>
      </c>
      <c r="O4" s="66" t="s">
        <v>14</v>
      </c>
      <c r="P4" s="100" t="s">
        <v>44</v>
      </c>
      <c r="Q4" s="66" t="s">
        <v>13</v>
      </c>
      <c r="R4" s="98">
        <v>0</v>
      </c>
      <c r="S4" s="99">
        <v>0</v>
      </c>
      <c r="T4" s="66" t="s">
        <v>14</v>
      </c>
      <c r="U4" s="100" t="s">
        <v>44</v>
      </c>
      <c r="V4" s="66" t="s">
        <v>13</v>
      </c>
      <c r="W4" s="98">
        <v>0</v>
      </c>
      <c r="X4" s="99">
        <v>1</v>
      </c>
      <c r="Y4" s="66" t="s">
        <v>14</v>
      </c>
      <c r="Z4" s="100" t="s">
        <v>67</v>
      </c>
      <c r="AA4" s="66" t="s">
        <v>13</v>
      </c>
      <c r="AB4" s="98">
        <v>0</v>
      </c>
      <c r="AC4" s="99">
        <v>1</v>
      </c>
      <c r="AD4" s="66" t="s">
        <v>14</v>
      </c>
      <c r="AE4" s="100" t="s">
        <v>713</v>
      </c>
      <c r="AF4" s="66" t="s">
        <v>16</v>
      </c>
      <c r="AG4" s="239" t="s">
        <v>714</v>
      </c>
      <c r="AH4" s="187"/>
      <c r="AI4" s="187"/>
      <c r="AJ4" s="240"/>
    </row>
    <row r="5" s="1" customFormat="1" ht="60" customHeight="1" spans="1:36">
      <c r="A5" s="62"/>
      <c r="B5" s="62"/>
      <c r="C5" s="64"/>
      <c r="D5" s="64"/>
      <c r="E5" s="64"/>
      <c r="F5" s="180"/>
      <c r="G5" s="181" t="s">
        <v>18</v>
      </c>
      <c r="H5" s="68" t="s">
        <v>715</v>
      </c>
      <c r="I5" s="127"/>
      <c r="J5" s="127"/>
      <c r="K5" s="127"/>
      <c r="L5" s="66" t="s">
        <v>20</v>
      </c>
      <c r="M5" s="101">
        <v>2</v>
      </c>
      <c r="N5" s="102">
        <v>0</v>
      </c>
      <c r="O5" s="66" t="s">
        <v>21</v>
      </c>
      <c r="P5" s="100" t="s">
        <v>22</v>
      </c>
      <c r="Q5" s="66" t="s">
        <v>20</v>
      </c>
      <c r="R5" s="101">
        <v>1</v>
      </c>
      <c r="S5" s="102">
        <v>0</v>
      </c>
      <c r="T5" s="66" t="s">
        <v>21</v>
      </c>
      <c r="U5" s="100" t="s">
        <v>22</v>
      </c>
      <c r="V5" s="66" t="s">
        <v>20</v>
      </c>
      <c r="W5" s="101">
        <v>3</v>
      </c>
      <c r="X5" s="102">
        <v>0</v>
      </c>
      <c r="Y5" s="66" t="s">
        <v>21</v>
      </c>
      <c r="Z5" s="100" t="s">
        <v>22</v>
      </c>
      <c r="AA5" s="66" t="s">
        <v>20</v>
      </c>
      <c r="AB5" s="101">
        <v>7</v>
      </c>
      <c r="AC5" s="102">
        <v>1</v>
      </c>
      <c r="AD5" s="66" t="s">
        <v>21</v>
      </c>
      <c r="AE5" s="100" t="s">
        <v>713</v>
      </c>
      <c r="AF5" s="66" t="s">
        <v>24</v>
      </c>
      <c r="AG5" s="188" t="s">
        <v>716</v>
      </c>
      <c r="AH5" s="215"/>
      <c r="AI5" s="215"/>
      <c r="AJ5" s="241"/>
    </row>
    <row r="6" s="1" customFormat="1" ht="60" customHeight="1" spans="1:36">
      <c r="A6" s="69" t="s">
        <v>26</v>
      </c>
      <c r="B6" s="70" t="s">
        <v>717</v>
      </c>
      <c r="C6" s="71"/>
      <c r="D6" s="71"/>
      <c r="E6" s="71"/>
      <c r="F6" s="182"/>
      <c r="G6" s="183"/>
      <c r="H6" s="184"/>
      <c r="I6" s="184"/>
      <c r="J6" s="184"/>
      <c r="K6" s="184"/>
      <c r="L6" s="193" t="s">
        <v>28</v>
      </c>
      <c r="M6" s="194" t="s">
        <v>660</v>
      </c>
      <c r="N6" s="194"/>
      <c r="O6" s="194"/>
      <c r="P6" s="194"/>
      <c r="Q6" s="193" t="s">
        <v>28</v>
      </c>
      <c r="R6" s="229" t="s">
        <v>718</v>
      </c>
      <c r="S6" s="230"/>
      <c r="T6" s="230"/>
      <c r="U6" s="230"/>
      <c r="V6" s="193" t="s">
        <v>28</v>
      </c>
      <c r="W6" s="199" t="s">
        <v>719</v>
      </c>
      <c r="X6" s="199"/>
      <c r="Y6" s="199"/>
      <c r="Z6" s="199"/>
      <c r="AA6" s="193" t="s">
        <v>28</v>
      </c>
      <c r="AB6" s="199" t="s">
        <v>720</v>
      </c>
      <c r="AC6" s="203"/>
      <c r="AD6" s="203"/>
      <c r="AE6" s="203"/>
      <c r="AF6" s="193"/>
      <c r="AG6" s="217"/>
      <c r="AH6" s="217"/>
      <c r="AI6" s="217"/>
      <c r="AJ6" s="242"/>
    </row>
    <row r="7" s="1" customFormat="1" ht="20" customHeight="1" spans="1:36">
      <c r="A7" s="69" t="s">
        <v>33</v>
      </c>
      <c r="B7" s="72" t="s">
        <v>721</v>
      </c>
      <c r="C7" s="72"/>
      <c r="D7" s="72"/>
      <c r="E7" s="72"/>
      <c r="F7" s="180" t="s">
        <v>35</v>
      </c>
      <c r="G7" s="179" t="s">
        <v>36</v>
      </c>
      <c r="H7" s="61"/>
      <c r="I7" s="61"/>
      <c r="J7" s="61"/>
      <c r="K7" s="61"/>
      <c r="L7" s="61" t="s">
        <v>722</v>
      </c>
      <c r="M7" s="61"/>
      <c r="N7" s="61"/>
      <c r="O7" s="61"/>
      <c r="P7" s="61"/>
      <c r="Q7" s="61" t="s">
        <v>723</v>
      </c>
      <c r="R7" s="61"/>
      <c r="S7" s="61"/>
      <c r="T7" s="61"/>
      <c r="U7" s="61"/>
      <c r="V7" s="61" t="s">
        <v>724</v>
      </c>
      <c r="W7" s="61"/>
      <c r="X7" s="61"/>
      <c r="Y7" s="61"/>
      <c r="Z7" s="61"/>
      <c r="AA7" s="61" t="s">
        <v>725</v>
      </c>
      <c r="AB7" s="61"/>
      <c r="AC7" s="61"/>
      <c r="AD7" s="61"/>
      <c r="AE7" s="61"/>
      <c r="AF7" s="61" t="s">
        <v>41</v>
      </c>
      <c r="AG7" s="61"/>
      <c r="AH7" s="61"/>
      <c r="AI7" s="61"/>
      <c r="AJ7" s="243"/>
    </row>
    <row r="8" s="1" customFormat="1" ht="60" customHeight="1" spans="1:36">
      <c r="A8" s="69"/>
      <c r="B8" s="72"/>
      <c r="C8" s="72"/>
      <c r="D8" s="72"/>
      <c r="E8" s="72"/>
      <c r="F8" s="180"/>
      <c r="G8" s="181" t="s">
        <v>11</v>
      </c>
      <c r="H8" s="159" t="s">
        <v>726</v>
      </c>
      <c r="I8" s="159"/>
      <c r="J8" s="159"/>
      <c r="K8" s="160"/>
      <c r="L8" s="66" t="s">
        <v>13</v>
      </c>
      <c r="M8" s="98">
        <v>1</v>
      </c>
      <c r="N8" s="99">
        <v>0</v>
      </c>
      <c r="O8" s="66" t="s">
        <v>14</v>
      </c>
      <c r="P8" s="100" t="s">
        <v>44</v>
      </c>
      <c r="Q8" s="66" t="s">
        <v>13</v>
      </c>
      <c r="R8" s="98">
        <v>1</v>
      </c>
      <c r="S8" s="99">
        <v>0</v>
      </c>
      <c r="T8" s="66" t="s">
        <v>14</v>
      </c>
      <c r="U8" s="100" t="s">
        <v>44</v>
      </c>
      <c r="V8" s="66" t="s">
        <v>13</v>
      </c>
      <c r="W8" s="98">
        <v>1</v>
      </c>
      <c r="X8" s="99">
        <v>0</v>
      </c>
      <c r="Y8" s="66" t="s">
        <v>14</v>
      </c>
      <c r="Z8" s="100" t="s">
        <v>45</v>
      </c>
      <c r="AA8" s="66" t="s">
        <v>13</v>
      </c>
      <c r="AB8" s="98">
        <v>1</v>
      </c>
      <c r="AC8" s="99">
        <v>0</v>
      </c>
      <c r="AD8" s="66" t="s">
        <v>14</v>
      </c>
      <c r="AE8" s="100" t="s">
        <v>727</v>
      </c>
      <c r="AF8" s="66" t="s">
        <v>16</v>
      </c>
      <c r="AG8" s="159" t="s">
        <v>728</v>
      </c>
      <c r="AH8" s="159"/>
      <c r="AI8" s="159"/>
      <c r="AJ8" s="244"/>
    </row>
    <row r="9" s="1" customFormat="1" ht="60" customHeight="1" spans="1:36">
      <c r="A9" s="69"/>
      <c r="B9" s="72"/>
      <c r="C9" s="72"/>
      <c r="D9" s="72"/>
      <c r="E9" s="72"/>
      <c r="F9" s="180"/>
      <c r="G9" s="181" t="s">
        <v>18</v>
      </c>
      <c r="H9" s="223" t="s">
        <v>729</v>
      </c>
      <c r="I9" s="215"/>
      <c r="J9" s="215"/>
      <c r="K9" s="216"/>
      <c r="L9" s="66" t="s">
        <v>20</v>
      </c>
      <c r="M9" s="101">
        <v>3</v>
      </c>
      <c r="N9" s="102">
        <v>0</v>
      </c>
      <c r="O9" s="66" t="s">
        <v>21</v>
      </c>
      <c r="P9" s="100" t="s">
        <v>730</v>
      </c>
      <c r="Q9" s="66" t="s">
        <v>20</v>
      </c>
      <c r="R9" s="101">
        <v>2</v>
      </c>
      <c r="S9" s="102">
        <v>0</v>
      </c>
      <c r="T9" s="66" t="s">
        <v>21</v>
      </c>
      <c r="U9" s="100" t="s">
        <v>731</v>
      </c>
      <c r="V9" s="66" t="s">
        <v>20</v>
      </c>
      <c r="W9" s="101">
        <v>1</v>
      </c>
      <c r="X9" s="102">
        <v>0</v>
      </c>
      <c r="Y9" s="66" t="s">
        <v>21</v>
      </c>
      <c r="Z9" s="100" t="s">
        <v>45</v>
      </c>
      <c r="AA9" s="66" t="s">
        <v>20</v>
      </c>
      <c r="AB9" s="101">
        <v>4</v>
      </c>
      <c r="AC9" s="102">
        <v>1</v>
      </c>
      <c r="AD9" s="66" t="s">
        <v>21</v>
      </c>
      <c r="AE9" s="100" t="s">
        <v>732</v>
      </c>
      <c r="AF9" s="66" t="s">
        <v>24</v>
      </c>
      <c r="AG9" s="215" t="s">
        <v>733</v>
      </c>
      <c r="AH9" s="215"/>
      <c r="AI9" s="215"/>
      <c r="AJ9" s="241"/>
    </row>
    <row r="10" s="1" customFormat="1" ht="60" customHeight="1" spans="1:36">
      <c r="A10" s="69" t="s">
        <v>49</v>
      </c>
      <c r="B10" s="70" t="s">
        <v>734</v>
      </c>
      <c r="C10" s="71"/>
      <c r="D10" s="71"/>
      <c r="E10" s="71"/>
      <c r="F10" s="180"/>
      <c r="G10" s="183"/>
      <c r="H10" s="217"/>
      <c r="I10" s="217"/>
      <c r="J10" s="217"/>
      <c r="K10" s="218"/>
      <c r="L10" s="193" t="s">
        <v>28</v>
      </c>
      <c r="M10" s="194" t="s">
        <v>735</v>
      </c>
      <c r="N10" s="203"/>
      <c r="O10" s="203"/>
      <c r="P10" s="203"/>
      <c r="Q10" s="193" t="s">
        <v>28</v>
      </c>
      <c r="R10" s="194" t="s">
        <v>736</v>
      </c>
      <c r="S10" s="199"/>
      <c r="T10" s="199"/>
      <c r="U10" s="199"/>
      <c r="V10" s="193" t="s">
        <v>28</v>
      </c>
      <c r="W10" s="199" t="s">
        <v>737</v>
      </c>
      <c r="X10" s="231"/>
      <c r="Y10" s="231"/>
      <c r="Z10" s="231"/>
      <c r="AA10" s="193" t="s">
        <v>28</v>
      </c>
      <c r="AB10" s="234" t="s">
        <v>738</v>
      </c>
      <c r="AC10" s="235"/>
      <c r="AD10" s="235"/>
      <c r="AE10" s="235"/>
      <c r="AF10" s="193"/>
      <c r="AG10" s="217"/>
      <c r="AH10" s="217"/>
      <c r="AI10" s="217"/>
      <c r="AJ10" s="242"/>
    </row>
    <row r="11" s="1" customFormat="1" ht="20" customHeight="1" spans="1:36">
      <c r="A11" s="78"/>
      <c r="B11" s="78"/>
      <c r="C11" s="78"/>
      <c r="D11" s="78"/>
      <c r="E11" s="78"/>
      <c r="F11" s="186" t="s">
        <v>55</v>
      </c>
      <c r="G11" s="179" t="s">
        <v>56</v>
      </c>
      <c r="H11" s="61"/>
      <c r="I11" s="61"/>
      <c r="J11" s="61"/>
      <c r="K11" s="61"/>
      <c r="L11" s="61" t="s">
        <v>739</v>
      </c>
      <c r="M11" s="61"/>
      <c r="N11" s="61"/>
      <c r="O11" s="61"/>
      <c r="P11" s="61"/>
      <c r="Q11" s="106" t="s">
        <v>740</v>
      </c>
      <c r="R11" s="61"/>
      <c r="S11" s="61"/>
      <c r="T11" s="61"/>
      <c r="U11" s="61"/>
      <c r="V11" s="61" t="s">
        <v>741</v>
      </c>
      <c r="W11" s="61"/>
      <c r="X11" s="61"/>
      <c r="Y11" s="61"/>
      <c r="Z11" s="61"/>
      <c r="AA11" s="61" t="s">
        <v>742</v>
      </c>
      <c r="AB11" s="61"/>
      <c r="AC11" s="61"/>
      <c r="AD11" s="61"/>
      <c r="AE11" s="61"/>
      <c r="AF11" s="61" t="s">
        <v>61</v>
      </c>
      <c r="AG11" s="61"/>
      <c r="AH11" s="61"/>
      <c r="AI11" s="61"/>
      <c r="AJ11" s="243"/>
    </row>
    <row r="12" s="1" customFormat="1" ht="60" customHeight="1" spans="1:36">
      <c r="A12" s="79" t="s">
        <v>62</v>
      </c>
      <c r="B12" s="80" t="str">
        <f>_xlfn.DISPIMG("ID_3E5E0D45B9E64914B92FAA3A02A4AC93",1)</f>
        <v>=DISPIMG("ID_3E5E0D45B9E64914B92FAA3A02A4AC93",1)</v>
      </c>
      <c r="C12" s="80"/>
      <c r="D12" s="80"/>
      <c r="E12" s="80"/>
      <c r="F12" s="180"/>
      <c r="G12" s="181" t="s">
        <v>11</v>
      </c>
      <c r="H12" s="74" t="s">
        <v>743</v>
      </c>
      <c r="I12" s="74"/>
      <c r="J12" s="74"/>
      <c r="K12" s="74"/>
      <c r="L12" s="66" t="s">
        <v>13</v>
      </c>
      <c r="M12" s="98">
        <v>1</v>
      </c>
      <c r="N12" s="99">
        <v>0</v>
      </c>
      <c r="O12" s="66" t="s">
        <v>14</v>
      </c>
      <c r="P12" s="100" t="s">
        <v>44</v>
      </c>
      <c r="Q12" s="66" t="s">
        <v>13</v>
      </c>
      <c r="R12" s="98">
        <v>1</v>
      </c>
      <c r="S12" s="99">
        <v>0</v>
      </c>
      <c r="T12" s="66" t="s">
        <v>14</v>
      </c>
      <c r="U12" s="100" t="s">
        <v>45</v>
      </c>
      <c r="V12" s="66" t="s">
        <v>13</v>
      </c>
      <c r="W12" s="98">
        <v>0</v>
      </c>
      <c r="X12" s="99">
        <v>1</v>
      </c>
      <c r="Y12" s="66" t="s">
        <v>14</v>
      </c>
      <c r="Z12" s="100" t="s">
        <v>744</v>
      </c>
      <c r="AA12" s="66" t="s">
        <v>13</v>
      </c>
      <c r="AB12" s="98">
        <v>1</v>
      </c>
      <c r="AC12" s="99">
        <v>0</v>
      </c>
      <c r="AD12" s="66" t="s">
        <v>14</v>
      </c>
      <c r="AE12" s="100" t="s">
        <v>44</v>
      </c>
      <c r="AF12" s="66" t="s">
        <v>16</v>
      </c>
      <c r="AG12" s="159" t="s">
        <v>745</v>
      </c>
      <c r="AH12" s="159"/>
      <c r="AI12" s="159"/>
      <c r="AJ12" s="244"/>
    </row>
    <row r="13" s="1" customFormat="1" ht="60" customHeight="1" spans="1:36">
      <c r="A13" s="82"/>
      <c r="B13" s="80"/>
      <c r="C13" s="80"/>
      <c r="D13" s="80"/>
      <c r="E13" s="80"/>
      <c r="F13" s="180"/>
      <c r="G13" s="181" t="s">
        <v>18</v>
      </c>
      <c r="H13" s="127" t="s">
        <v>746</v>
      </c>
      <c r="I13" s="127"/>
      <c r="J13" s="127"/>
      <c r="K13" s="127"/>
      <c r="L13" s="66" t="s">
        <v>20</v>
      </c>
      <c r="M13" s="101">
        <v>6</v>
      </c>
      <c r="N13" s="102">
        <v>0</v>
      </c>
      <c r="O13" s="66" t="s">
        <v>21</v>
      </c>
      <c r="P13" s="100" t="s">
        <v>747</v>
      </c>
      <c r="Q13" s="66" t="s">
        <v>20</v>
      </c>
      <c r="R13" s="101">
        <v>2</v>
      </c>
      <c r="S13" s="102">
        <v>0</v>
      </c>
      <c r="T13" s="66" t="s">
        <v>21</v>
      </c>
      <c r="U13" s="100" t="s">
        <v>45</v>
      </c>
      <c r="V13" s="66" t="s">
        <v>20</v>
      </c>
      <c r="W13" s="101">
        <v>0</v>
      </c>
      <c r="X13" s="102">
        <v>1</v>
      </c>
      <c r="Y13" s="66" t="s">
        <v>21</v>
      </c>
      <c r="Z13" s="100" t="s">
        <v>748</v>
      </c>
      <c r="AA13" s="66" t="s">
        <v>20</v>
      </c>
      <c r="AB13" s="101">
        <v>0</v>
      </c>
      <c r="AC13" s="102">
        <v>1</v>
      </c>
      <c r="AD13" s="66" t="s">
        <v>21</v>
      </c>
      <c r="AE13" s="100" t="s">
        <v>22</v>
      </c>
      <c r="AF13" s="66" t="s">
        <v>24</v>
      </c>
      <c r="AG13" s="223" t="s">
        <v>749</v>
      </c>
      <c r="AH13" s="215"/>
      <c r="AI13" s="215"/>
      <c r="AJ13" s="241"/>
    </row>
    <row r="14" s="1" customFormat="1" ht="60" customHeight="1" spans="1:36">
      <c r="A14" s="82"/>
      <c r="B14" s="80"/>
      <c r="C14" s="80"/>
      <c r="D14" s="80"/>
      <c r="E14" s="80"/>
      <c r="F14" s="182"/>
      <c r="G14" s="183"/>
      <c r="H14" s="184"/>
      <c r="I14" s="184"/>
      <c r="J14" s="184"/>
      <c r="K14" s="184"/>
      <c r="L14" s="193" t="s">
        <v>28</v>
      </c>
      <c r="M14" s="194" t="s">
        <v>750</v>
      </c>
      <c r="N14" s="203"/>
      <c r="O14" s="203"/>
      <c r="P14" s="203"/>
      <c r="Q14" s="193" t="s">
        <v>28</v>
      </c>
      <c r="R14" s="194" t="s">
        <v>751</v>
      </c>
      <c r="S14" s="194"/>
      <c r="T14" s="194"/>
      <c r="U14" s="194"/>
      <c r="V14" s="193" t="s">
        <v>28</v>
      </c>
      <c r="W14" s="199" t="s">
        <v>752</v>
      </c>
      <c r="X14" s="200"/>
      <c r="Y14" s="200"/>
      <c r="Z14" s="200"/>
      <c r="AA14" s="193" t="s">
        <v>28</v>
      </c>
      <c r="AB14" s="195" t="s">
        <v>753</v>
      </c>
      <c r="AC14" s="230"/>
      <c r="AD14" s="230"/>
      <c r="AE14" s="230"/>
      <c r="AF14" s="193"/>
      <c r="AG14" s="217"/>
      <c r="AH14" s="217"/>
      <c r="AI14" s="217"/>
      <c r="AJ14" s="242"/>
    </row>
    <row r="15" s="1" customFormat="1" ht="20" customHeight="1" spans="1:36">
      <c r="A15" s="83"/>
      <c r="B15" s="224"/>
      <c r="C15" s="224"/>
      <c r="D15" s="224"/>
      <c r="E15" s="224"/>
      <c r="F15" s="180" t="s">
        <v>77</v>
      </c>
      <c r="G15" s="179" t="s">
        <v>78</v>
      </c>
      <c r="H15" s="61"/>
      <c r="I15" s="61"/>
      <c r="J15" s="61"/>
      <c r="K15" s="61"/>
      <c r="L15" s="61" t="s">
        <v>754</v>
      </c>
      <c r="M15" s="61"/>
      <c r="N15" s="61"/>
      <c r="O15" s="61"/>
      <c r="P15" s="61"/>
      <c r="Q15" s="61" t="s">
        <v>755</v>
      </c>
      <c r="R15" s="61"/>
      <c r="S15" s="61"/>
      <c r="T15" s="61"/>
      <c r="U15" s="61"/>
      <c r="V15" s="61" t="s">
        <v>756</v>
      </c>
      <c r="W15" s="61"/>
      <c r="X15" s="61"/>
      <c r="Y15" s="61"/>
      <c r="Z15" s="61"/>
      <c r="AA15" s="61" t="s">
        <v>757</v>
      </c>
      <c r="AB15" s="61"/>
      <c r="AC15" s="61"/>
      <c r="AD15" s="61"/>
      <c r="AE15" s="61"/>
      <c r="AF15" s="61" t="s">
        <v>141</v>
      </c>
      <c r="AG15" s="61"/>
      <c r="AH15" s="61"/>
      <c r="AI15" s="61"/>
      <c r="AJ15" s="243"/>
    </row>
    <row r="16" s="1" customFormat="1" ht="60" customHeight="1" spans="1:36">
      <c r="A16" s="85" t="s">
        <v>83</v>
      </c>
      <c r="B16" s="86" t="s">
        <v>88</v>
      </c>
      <c r="C16" s="87"/>
      <c r="D16" s="87"/>
      <c r="E16" s="87"/>
      <c r="F16" s="180"/>
      <c r="G16" s="181" t="s">
        <v>16</v>
      </c>
      <c r="H16" s="159" t="s">
        <v>758</v>
      </c>
      <c r="I16" s="159"/>
      <c r="J16" s="159"/>
      <c r="K16" s="159"/>
      <c r="L16" s="66" t="s">
        <v>13</v>
      </c>
      <c r="M16" s="98">
        <v>0</v>
      </c>
      <c r="N16" s="99">
        <v>0</v>
      </c>
      <c r="O16" s="66" t="s">
        <v>14</v>
      </c>
      <c r="P16" s="100" t="str">
        <f>_xlfn.DISPIMG("ID_9C3EED6571B446FD9204928516D04141",1)</f>
        <v>=DISPIMG("ID_9C3EED6571B446FD9204928516D04141",1)</v>
      </c>
      <c r="Q16" s="66" t="s">
        <v>13</v>
      </c>
      <c r="R16" s="98">
        <v>1</v>
      </c>
      <c r="S16" s="99">
        <v>1</v>
      </c>
      <c r="T16" s="66" t="s">
        <v>14</v>
      </c>
      <c r="U16" s="100" t="s">
        <v>161</v>
      </c>
      <c r="V16" s="66" t="s">
        <v>13</v>
      </c>
      <c r="W16" s="98">
        <v>0</v>
      </c>
      <c r="X16" s="99">
        <v>1</v>
      </c>
      <c r="Y16" s="66" t="s">
        <v>14</v>
      </c>
      <c r="Z16" s="100" t="s">
        <v>759</v>
      </c>
      <c r="AA16" s="66" t="s">
        <v>13</v>
      </c>
      <c r="AB16" s="98">
        <v>1</v>
      </c>
      <c r="AC16" s="99">
        <v>1</v>
      </c>
      <c r="AD16" s="66" t="s">
        <v>14</v>
      </c>
      <c r="AE16" s="100" t="s">
        <v>44</v>
      </c>
      <c r="AF16" s="66" t="s">
        <v>16</v>
      </c>
      <c r="AG16" s="159" t="s">
        <v>760</v>
      </c>
      <c r="AH16" s="159"/>
      <c r="AI16" s="159"/>
      <c r="AJ16" s="244"/>
    </row>
    <row r="17" s="1" customFormat="1" ht="60" customHeight="1" spans="1:36">
      <c r="A17" s="85" t="s">
        <v>87</v>
      </c>
      <c r="B17" s="86" t="s">
        <v>88</v>
      </c>
      <c r="C17" s="87"/>
      <c r="D17" s="87"/>
      <c r="E17" s="87"/>
      <c r="F17" s="180"/>
      <c r="G17" s="181" t="s">
        <v>28</v>
      </c>
      <c r="H17" s="215" t="s">
        <v>761</v>
      </c>
      <c r="I17" s="215"/>
      <c r="J17" s="215"/>
      <c r="K17" s="215"/>
      <c r="L17" s="66" t="s">
        <v>20</v>
      </c>
      <c r="M17" s="101">
        <v>3</v>
      </c>
      <c r="N17" s="102">
        <v>1</v>
      </c>
      <c r="O17" s="66" t="s">
        <v>21</v>
      </c>
      <c r="P17" s="100" t="s">
        <v>22</v>
      </c>
      <c r="Q17" s="66" t="s">
        <v>20</v>
      </c>
      <c r="R17" s="101">
        <v>2</v>
      </c>
      <c r="S17" s="102">
        <v>0</v>
      </c>
      <c r="T17" s="66" t="s">
        <v>21</v>
      </c>
      <c r="U17" s="100" t="s">
        <v>762</v>
      </c>
      <c r="V17" s="66" t="s">
        <v>20</v>
      </c>
      <c r="W17" s="101">
        <v>5</v>
      </c>
      <c r="X17" s="102">
        <v>0</v>
      </c>
      <c r="Y17" s="66" t="s">
        <v>21</v>
      </c>
      <c r="Z17" s="100" t="s">
        <v>22</v>
      </c>
      <c r="AA17" s="66" t="s">
        <v>20</v>
      </c>
      <c r="AB17" s="101">
        <v>5</v>
      </c>
      <c r="AC17" s="102">
        <v>0</v>
      </c>
      <c r="AD17" s="66" t="s">
        <v>21</v>
      </c>
      <c r="AE17" s="100" t="str">
        <f>_xlfn.DISPIMG("ID_0752C98FF66649929CDC383BB4C9FA1D",1)</f>
        <v>=DISPIMG("ID_0752C98FF66649929CDC383BB4C9FA1D",1)</v>
      </c>
      <c r="AF17" s="66" t="s">
        <v>24</v>
      </c>
      <c r="AG17" s="215" t="s">
        <v>763</v>
      </c>
      <c r="AH17" s="215"/>
      <c r="AI17" s="215"/>
      <c r="AJ17" s="241"/>
    </row>
    <row r="18" s="1" customFormat="1" ht="81" customHeight="1" spans="1:36">
      <c r="A18" s="90" t="s">
        <v>151</v>
      </c>
      <c r="B18" s="91" t="s">
        <v>699</v>
      </c>
      <c r="C18" s="92"/>
      <c r="D18" s="92"/>
      <c r="E18" s="92"/>
      <c r="F18" s="189"/>
      <c r="G18" s="225"/>
      <c r="H18" s="226"/>
      <c r="I18" s="226"/>
      <c r="J18" s="226"/>
      <c r="K18" s="226"/>
      <c r="L18" s="227" t="s">
        <v>28</v>
      </c>
      <c r="M18" s="228" t="s">
        <v>764</v>
      </c>
      <c r="N18" s="228"/>
      <c r="O18" s="228"/>
      <c r="P18" s="228"/>
      <c r="Q18" s="227" t="s">
        <v>28</v>
      </c>
      <c r="R18" s="228" t="s">
        <v>765</v>
      </c>
      <c r="S18" s="228"/>
      <c r="T18" s="228"/>
      <c r="U18" s="228"/>
      <c r="V18" s="227" t="s">
        <v>28</v>
      </c>
      <c r="W18" s="232" t="s">
        <v>766</v>
      </c>
      <c r="X18" s="233"/>
      <c r="Y18" s="233"/>
      <c r="Z18" s="233"/>
      <c r="AA18" s="227" t="s">
        <v>28</v>
      </c>
      <c r="AB18" s="236" t="s">
        <v>767</v>
      </c>
      <c r="AC18" s="237"/>
      <c r="AD18" s="237"/>
      <c r="AE18" s="237"/>
      <c r="AF18" s="227"/>
      <c r="AG18" s="226"/>
      <c r="AH18" s="226"/>
      <c r="AI18" s="226"/>
      <c r="AJ18" s="245"/>
    </row>
    <row r="47" spans="18:18">
      <c r="R47"/>
    </row>
  </sheetData>
  <sheetProtection selectLockedCells="1" formatCells="0" formatColumns="0" formatRows="0" insertRows="0" insertColumns="0" insertHyperlinks="0" deleteColumns="0" deleteRows="0" sort="0" autoFilter="0" pivotTables="0"/>
  <mergeCells count="86">
    <mergeCell ref="B1:C1"/>
    <mergeCell ref="D1:E1"/>
    <mergeCell ref="L1:P1"/>
    <mergeCell ref="Q1:U1"/>
    <mergeCell ref="V1:Z1"/>
    <mergeCell ref="AA1:AE1"/>
    <mergeCell ref="AF1:AJ1"/>
    <mergeCell ref="G3:K3"/>
    <mergeCell ref="L3:P3"/>
    <mergeCell ref="Q3:U3"/>
    <mergeCell ref="V3:Z3"/>
    <mergeCell ref="AA3:AE3"/>
    <mergeCell ref="AF3:AJ3"/>
    <mergeCell ref="H4:K4"/>
    <mergeCell ref="AG4:AJ4"/>
    <mergeCell ref="B6:E6"/>
    <mergeCell ref="M6:P6"/>
    <mergeCell ref="R6:U6"/>
    <mergeCell ref="W6:Z6"/>
    <mergeCell ref="AB6:AE6"/>
    <mergeCell ref="G7:K7"/>
    <mergeCell ref="L7:P7"/>
    <mergeCell ref="Q7:U7"/>
    <mergeCell ref="V7:Z7"/>
    <mergeCell ref="AA7:AE7"/>
    <mergeCell ref="AF7:AJ7"/>
    <mergeCell ref="H8:K8"/>
    <mergeCell ref="AG8:AJ8"/>
    <mergeCell ref="B10:E10"/>
    <mergeCell ref="M10:P10"/>
    <mergeCell ref="R10:U10"/>
    <mergeCell ref="W10:Z10"/>
    <mergeCell ref="AB10:AE10"/>
    <mergeCell ref="G11:K11"/>
    <mergeCell ref="L11:P11"/>
    <mergeCell ref="Q11:U11"/>
    <mergeCell ref="V11:Z11"/>
    <mergeCell ref="AA11:AE11"/>
    <mergeCell ref="AF11:AJ11"/>
    <mergeCell ref="H12:K12"/>
    <mergeCell ref="AG12:AJ12"/>
    <mergeCell ref="M14:P14"/>
    <mergeCell ref="R14:U14"/>
    <mergeCell ref="W14:Z14"/>
    <mergeCell ref="AB14:AE14"/>
    <mergeCell ref="G15:K15"/>
    <mergeCell ref="L15:P15"/>
    <mergeCell ref="Q15:U15"/>
    <mergeCell ref="V15:Z15"/>
    <mergeCell ref="AA15:AE15"/>
    <mergeCell ref="AF15:AJ15"/>
    <mergeCell ref="B16:E16"/>
    <mergeCell ref="H16:K16"/>
    <mergeCell ref="AG16:AJ16"/>
    <mergeCell ref="B17:E17"/>
    <mergeCell ref="B18:E18"/>
    <mergeCell ref="M18:P18"/>
    <mergeCell ref="R18:U18"/>
    <mergeCell ref="W18:Z18"/>
    <mergeCell ref="AB18:AE18"/>
    <mergeCell ref="A7:A9"/>
    <mergeCell ref="A12:A14"/>
    <mergeCell ref="F3:F6"/>
    <mergeCell ref="F7:F10"/>
    <mergeCell ref="F11:F14"/>
    <mergeCell ref="F15:F18"/>
    <mergeCell ref="G5:G6"/>
    <mergeCell ref="G9:G10"/>
    <mergeCell ref="G13:G14"/>
    <mergeCell ref="G17:G18"/>
    <mergeCell ref="AF5:AF6"/>
    <mergeCell ref="AF9:AF10"/>
    <mergeCell ref="AF13:AF14"/>
    <mergeCell ref="AF17:AF18"/>
    <mergeCell ref="A4:B5"/>
    <mergeCell ref="C4:E5"/>
    <mergeCell ref="B7:E9"/>
    <mergeCell ref="H5:K6"/>
    <mergeCell ref="AG13:AJ14"/>
    <mergeCell ref="H17:K18"/>
    <mergeCell ref="AG17:AJ18"/>
    <mergeCell ref="B12:E14"/>
    <mergeCell ref="AG5:AJ6"/>
    <mergeCell ref="H13:K14"/>
    <mergeCell ref="H9:K10"/>
    <mergeCell ref="AG9:AJ10"/>
  </mergeCells>
  <conditionalFormatting sqref="M4">
    <cfRule type="cellIs" dxfId="0" priority="28" operator="equal">
      <formula>0</formula>
    </cfRule>
  </conditionalFormatting>
  <conditionalFormatting sqref="N4">
    <cfRule type="cellIs" dxfId="0" priority="29" operator="equal">
      <formula>0</formula>
    </cfRule>
  </conditionalFormatting>
  <conditionalFormatting sqref="R4">
    <cfRule type="cellIs" dxfId="0" priority="52" operator="equal">
      <formula>0</formula>
    </cfRule>
  </conditionalFormatting>
  <conditionalFormatting sqref="S4">
    <cfRule type="cellIs" dxfId="0" priority="53" operator="equal">
      <formula>0</formula>
    </cfRule>
  </conditionalFormatting>
  <conditionalFormatting sqref="W4">
    <cfRule type="cellIs" dxfId="0" priority="4" operator="equal">
      <formula>0</formula>
    </cfRule>
  </conditionalFormatting>
  <conditionalFormatting sqref="X4">
    <cfRule type="cellIs" dxfId="0" priority="5" operator="equal">
      <formula>0</formula>
    </cfRule>
  </conditionalFormatting>
  <conditionalFormatting sqref="AB4">
    <cfRule type="cellIs" dxfId="0" priority="25" operator="equal">
      <formula>0</formula>
    </cfRule>
  </conditionalFormatting>
  <conditionalFormatting sqref="AC4">
    <cfRule type="cellIs" dxfId="0" priority="26" operator="equal">
      <formula>0</formula>
    </cfRule>
  </conditionalFormatting>
  <conditionalFormatting sqref="M8">
    <cfRule type="cellIs" dxfId="0" priority="31" operator="equal">
      <formula>0</formula>
    </cfRule>
  </conditionalFormatting>
  <conditionalFormatting sqref="N8">
    <cfRule type="cellIs" dxfId="0" priority="32" operator="equal">
      <formula>0</formula>
    </cfRule>
  </conditionalFormatting>
  <conditionalFormatting sqref="R8">
    <cfRule type="cellIs" dxfId="0" priority="37" operator="equal">
      <formula>0</formula>
    </cfRule>
  </conditionalFormatting>
  <conditionalFormatting sqref="S8">
    <cfRule type="cellIs" dxfId="0" priority="38" operator="equal">
      <formula>0</formula>
    </cfRule>
  </conditionalFormatting>
  <conditionalFormatting sqref="W8">
    <cfRule type="cellIs" dxfId="0" priority="1" operator="equal">
      <formula>0</formula>
    </cfRule>
  </conditionalFormatting>
  <conditionalFormatting sqref="X8">
    <cfRule type="cellIs" dxfId="0" priority="2" operator="equal">
      <formula>0</formula>
    </cfRule>
  </conditionalFormatting>
  <conditionalFormatting sqref="AB8">
    <cfRule type="cellIs" dxfId="0" priority="34" operator="equal">
      <formula>0</formula>
    </cfRule>
  </conditionalFormatting>
  <conditionalFormatting sqref="AC8">
    <cfRule type="cellIs" dxfId="0" priority="35" operator="equal">
      <formula>0</formula>
    </cfRule>
  </conditionalFormatting>
  <conditionalFormatting sqref="M12">
    <cfRule type="cellIs" dxfId="0" priority="19" operator="equal">
      <formula>0</formula>
    </cfRule>
  </conditionalFormatting>
  <conditionalFormatting sqref="N12">
    <cfRule type="cellIs" dxfId="0" priority="20" operator="equal">
      <formula>0</formula>
    </cfRule>
  </conditionalFormatting>
  <conditionalFormatting sqref="R12">
    <cfRule type="cellIs" dxfId="0" priority="49" operator="equal">
      <formula>0</formula>
    </cfRule>
  </conditionalFormatting>
  <conditionalFormatting sqref="S12">
    <cfRule type="cellIs" dxfId="0" priority="50" operator="equal">
      <formula>0</formula>
    </cfRule>
  </conditionalFormatting>
  <conditionalFormatting sqref="W12">
    <cfRule type="cellIs" dxfId="0" priority="46" operator="equal">
      <formula>0</formula>
    </cfRule>
  </conditionalFormatting>
  <conditionalFormatting sqref="X12">
    <cfRule type="cellIs" dxfId="0" priority="47" operator="equal">
      <formula>0</formula>
    </cfRule>
  </conditionalFormatting>
  <conditionalFormatting sqref="AB12">
    <cfRule type="cellIs" dxfId="0" priority="16" operator="equal">
      <formula>0</formula>
    </cfRule>
  </conditionalFormatting>
  <conditionalFormatting sqref="AC12">
    <cfRule type="cellIs" dxfId="0" priority="17" operator="equal">
      <formula>0</formula>
    </cfRule>
  </conditionalFormatting>
  <conditionalFormatting sqref="M16">
    <cfRule type="cellIs" dxfId="0" priority="10" operator="equal">
      <formula>0</formula>
    </cfRule>
  </conditionalFormatting>
  <conditionalFormatting sqref="N16">
    <cfRule type="cellIs" dxfId="0" priority="11" operator="equal">
      <formula>0</formula>
    </cfRule>
  </conditionalFormatting>
  <conditionalFormatting sqref="R16">
    <cfRule type="cellIs" dxfId="0" priority="43" operator="equal">
      <formula>0</formula>
    </cfRule>
  </conditionalFormatting>
  <conditionalFormatting sqref="S16">
    <cfRule type="cellIs" dxfId="0" priority="44" operator="equal">
      <formula>0</formula>
    </cfRule>
  </conditionalFormatting>
  <conditionalFormatting sqref="W16">
    <cfRule type="cellIs" dxfId="0" priority="40" operator="equal">
      <formula>0</formula>
    </cfRule>
  </conditionalFormatting>
  <conditionalFormatting sqref="X16">
    <cfRule type="cellIs" dxfId="0" priority="41" operator="equal">
      <formula>0</formula>
    </cfRule>
  </conditionalFormatting>
  <conditionalFormatting sqref="AB16">
    <cfRule type="cellIs" dxfId="0" priority="13" operator="equal">
      <formula>0</formula>
    </cfRule>
  </conditionalFormatting>
  <conditionalFormatting sqref="AC16">
    <cfRule type="cellIs" dxfId="0" priority="14" operator="equal">
      <formula>0</formula>
    </cfRule>
  </conditionalFormatting>
  <conditionalFormatting sqref="M4:N5">
    <cfRule type="cellIs" dxfId="1" priority="30" operator="equal">
      <formula>0</formula>
    </cfRule>
  </conditionalFormatting>
  <conditionalFormatting sqref="R4:S5">
    <cfRule type="cellIs" dxfId="1" priority="54" operator="equal">
      <formula>0</formula>
    </cfRule>
  </conditionalFormatting>
  <conditionalFormatting sqref="W4:X5">
    <cfRule type="cellIs" dxfId="1" priority="6" operator="equal">
      <formula>0</formula>
    </cfRule>
  </conditionalFormatting>
  <conditionalFormatting sqref="AB4:AC5">
    <cfRule type="cellIs" dxfId="1" priority="27" operator="equal">
      <formula>0</formula>
    </cfRule>
  </conditionalFormatting>
  <conditionalFormatting sqref="M8:N9">
    <cfRule type="cellIs" dxfId="1" priority="33" operator="equal">
      <formula>0</formula>
    </cfRule>
  </conditionalFormatting>
  <conditionalFormatting sqref="R8:S9">
    <cfRule type="cellIs" dxfId="1" priority="39" operator="equal">
      <formula>0</formula>
    </cfRule>
  </conditionalFormatting>
  <conditionalFormatting sqref="W8:X9">
    <cfRule type="cellIs" dxfId="1" priority="3" operator="equal">
      <formula>0</formula>
    </cfRule>
  </conditionalFormatting>
  <conditionalFormatting sqref="AB8:AC9">
    <cfRule type="cellIs" dxfId="1" priority="36" operator="equal">
      <formula>0</formula>
    </cfRule>
  </conditionalFormatting>
  <conditionalFormatting sqref="M12:N13">
    <cfRule type="cellIs" dxfId="1" priority="21" operator="equal">
      <formula>0</formula>
    </cfRule>
  </conditionalFormatting>
  <conditionalFormatting sqref="R12:S13">
    <cfRule type="cellIs" dxfId="1" priority="51" operator="equal">
      <formula>0</formula>
    </cfRule>
  </conditionalFormatting>
  <conditionalFormatting sqref="W12:X13">
    <cfRule type="cellIs" dxfId="1" priority="48" operator="equal">
      <formula>0</formula>
    </cfRule>
  </conditionalFormatting>
  <conditionalFormatting sqref="AB12:AC13">
    <cfRule type="cellIs" dxfId="1" priority="18" operator="equal">
      <formula>0</formula>
    </cfRule>
  </conditionalFormatting>
  <conditionalFormatting sqref="M16:N17">
    <cfRule type="cellIs" dxfId="1" priority="12" operator="equal">
      <formula>0</formula>
    </cfRule>
  </conditionalFormatting>
  <conditionalFormatting sqref="R16:S17">
    <cfRule type="cellIs" dxfId="1" priority="45" operator="equal">
      <formula>0</formula>
    </cfRule>
  </conditionalFormatting>
  <conditionalFormatting sqref="W16:X17">
    <cfRule type="cellIs" dxfId="1" priority="42" operator="equal">
      <formula>0</formula>
    </cfRule>
  </conditionalFormatting>
  <conditionalFormatting sqref="AB16:AC17">
    <cfRule type="cellIs" dxfId="1" priority="15" operator="equal">
      <formula>0</formula>
    </cfRule>
  </conditionalFormatting>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25"/>
  </sheetPr>
  <dimension ref="A1:AJ47"/>
  <sheetViews>
    <sheetView showGridLines="0" zoomScale="70" zoomScaleNormal="70" workbookViewId="0">
      <pane xSplit="21828" topLeftCell="A1" activePane="topLeft"/>
      <selection activeCell="B7" sqref="B7:E9"/>
      <selection pane="topRight"/>
    </sheetView>
  </sheetViews>
  <sheetFormatPr defaultColWidth="8.89090909090909" defaultRowHeight="16.5"/>
  <cols>
    <col min="1" max="5" width="10" style="1" customWidth="1"/>
    <col min="6" max="7" width="5" style="1" customWidth="1"/>
    <col min="8" max="11" width="10" style="1" customWidth="1"/>
    <col min="12" max="12" width="6.78181818181818" style="1" customWidth="1"/>
    <col min="13" max="14" width="10" style="1" customWidth="1"/>
    <col min="15" max="15" width="6.52727272727273" style="1" customWidth="1"/>
    <col min="16" max="16" width="20" style="1" customWidth="1"/>
    <col min="17" max="17" width="6.14545454545455" style="1" customWidth="1"/>
    <col min="18" max="19" width="10" style="1" customWidth="1"/>
    <col min="20" max="20" width="6.27272727272727" style="1" customWidth="1"/>
    <col min="21" max="21" width="20" style="1" customWidth="1"/>
    <col min="22" max="22" width="6.40909090909091" style="1" customWidth="1"/>
    <col min="23" max="24" width="10" style="1" customWidth="1"/>
    <col min="25" max="25" width="5.22727272727273" style="1" customWidth="1"/>
    <col min="26" max="26" width="20" style="1" customWidth="1"/>
    <col min="27" max="27" width="5.22727272727273" style="1" customWidth="1"/>
    <col min="28" max="29" width="10" style="1" customWidth="1"/>
    <col min="30" max="30" width="6.14545454545455" style="1" customWidth="1"/>
    <col min="31" max="31" width="20" style="1" customWidth="1"/>
    <col min="32" max="32" width="6.00909090909091" style="1" customWidth="1"/>
    <col min="33" max="36" width="10" style="1" customWidth="1"/>
    <col min="37" max="16384" width="8.89090909090909" style="1"/>
  </cols>
  <sheetData>
    <row r="1" s="1" customFormat="1" ht="60" customHeight="1" spans="1:36">
      <c r="A1" s="174" t="str">
        <f>_xlfn.DISPIMG("ID_52415B6A2B1D4D28A07C36CA61249B08",1)</f>
        <v>=DISPIMG("ID_52415B6A2B1D4D28A07C36CA61249B08",1)</v>
      </c>
      <c r="B1" s="54" t="s">
        <v>648</v>
      </c>
      <c r="C1" s="54"/>
      <c r="D1" s="175" t="s">
        <v>649</v>
      </c>
      <c r="E1" s="176"/>
      <c r="F1" s="5"/>
      <c r="G1" s="1"/>
      <c r="H1" s="1"/>
      <c r="I1" s="1"/>
      <c r="J1" s="1"/>
      <c r="K1" s="1"/>
      <c r="L1" s="109"/>
      <c r="M1" s="5"/>
      <c r="N1" s="5"/>
      <c r="O1" s="5"/>
      <c r="P1" s="5"/>
      <c r="Q1" s="109"/>
      <c r="R1" s="5"/>
      <c r="S1" s="5"/>
      <c r="T1" s="5"/>
      <c r="U1" s="5"/>
      <c r="V1" s="109"/>
      <c r="W1" s="5"/>
      <c r="X1" s="5"/>
      <c r="Y1" s="5"/>
      <c r="Z1" s="5"/>
      <c r="AA1" s="109"/>
      <c r="AB1" s="5"/>
      <c r="AC1" s="5"/>
      <c r="AD1" s="5"/>
      <c r="AE1" s="5"/>
      <c r="AF1" s="205" t="s">
        <v>227</v>
      </c>
      <c r="AG1" s="208"/>
      <c r="AH1" s="208"/>
      <c r="AI1" s="208"/>
      <c r="AJ1" s="208"/>
    </row>
    <row r="2" s="1" customFormat="1" ht="15" customHeight="1" spans="1:36">
      <c r="A2" s="58"/>
      <c r="B2" s="58"/>
      <c r="C2" s="58"/>
      <c r="D2" s="58"/>
      <c r="E2" s="58"/>
      <c r="F2" s="177"/>
      <c r="G2" s="177"/>
      <c r="H2" s="177"/>
      <c r="I2" s="177"/>
      <c r="J2" s="177"/>
      <c r="K2" s="177"/>
      <c r="L2" s="192"/>
      <c r="M2" s="192"/>
      <c r="N2" s="192"/>
      <c r="O2" s="192"/>
      <c r="P2" s="192"/>
      <c r="Q2" s="192"/>
      <c r="R2" s="192"/>
      <c r="S2" s="192"/>
      <c r="T2" s="192"/>
      <c r="U2" s="192"/>
      <c r="V2" s="192"/>
      <c r="W2" s="192"/>
      <c r="X2" s="192"/>
      <c r="Y2" s="192"/>
      <c r="Z2" s="192"/>
      <c r="AA2" s="192"/>
      <c r="AB2" s="192"/>
      <c r="AC2" s="192"/>
      <c r="AD2" s="192"/>
      <c r="AE2" s="192"/>
      <c r="AF2" s="206"/>
      <c r="AG2" s="206"/>
      <c r="AH2" s="206"/>
      <c r="AI2" s="206"/>
      <c r="AJ2" s="209"/>
    </row>
    <row r="3" s="1" customFormat="1" ht="20" customHeight="1" spans="1:36">
      <c r="A3" s="58"/>
      <c r="B3" s="58"/>
      <c r="C3" s="58"/>
      <c r="D3" s="58"/>
      <c r="E3" s="58"/>
      <c r="F3" s="178" t="s">
        <v>3</v>
      </c>
      <c r="G3" s="179" t="s">
        <v>4</v>
      </c>
      <c r="H3" s="61"/>
      <c r="I3" s="61"/>
      <c r="J3" s="61"/>
      <c r="K3" s="61"/>
      <c r="L3" s="61" t="s">
        <v>768</v>
      </c>
      <c r="M3" s="61"/>
      <c r="N3" s="61"/>
      <c r="O3" s="61"/>
      <c r="P3" s="61"/>
      <c r="Q3" s="61" t="s">
        <v>543</v>
      </c>
      <c r="R3" s="61"/>
      <c r="S3" s="61"/>
      <c r="T3" s="61"/>
      <c r="U3" s="61"/>
      <c r="V3" s="61" t="s">
        <v>769</v>
      </c>
      <c r="W3" s="61"/>
      <c r="X3" s="61"/>
      <c r="Y3" s="61"/>
      <c r="Z3" s="61"/>
      <c r="AA3" s="61" t="s">
        <v>770</v>
      </c>
      <c r="AB3" s="61"/>
      <c r="AC3" s="61"/>
      <c r="AD3" s="61"/>
      <c r="AE3" s="61"/>
      <c r="AF3" s="61" t="s">
        <v>9</v>
      </c>
      <c r="AG3" s="61"/>
      <c r="AH3" s="61"/>
      <c r="AI3" s="61"/>
      <c r="AJ3" s="115"/>
    </row>
    <row r="4" s="1" customFormat="1" ht="60" customHeight="1" spans="1:36">
      <c r="A4" s="62" t="str">
        <f>_xlfn.DISPIMG("ID_EF8622D837DE486BADE9CB4E96872CFE",1)</f>
        <v>=DISPIMG("ID_EF8622D837DE486BADE9CB4E96872CFE",1)</v>
      </c>
      <c r="B4" s="62"/>
      <c r="C4" s="63" t="s">
        <v>771</v>
      </c>
      <c r="D4" s="64"/>
      <c r="E4" s="64"/>
      <c r="F4" s="180"/>
      <c r="G4" s="181" t="s">
        <v>11</v>
      </c>
      <c r="H4" s="117" t="s">
        <v>772</v>
      </c>
      <c r="I4" s="74"/>
      <c r="J4" s="74"/>
      <c r="K4" s="74"/>
      <c r="L4" s="66" t="s">
        <v>13</v>
      </c>
      <c r="M4" s="98">
        <v>0</v>
      </c>
      <c r="N4" s="99">
        <v>1</v>
      </c>
      <c r="O4" s="66" t="s">
        <v>14</v>
      </c>
      <c r="P4" s="100" t="s">
        <v>44</v>
      </c>
      <c r="Q4" s="66" t="s">
        <v>13</v>
      </c>
      <c r="R4" s="98">
        <v>0</v>
      </c>
      <c r="S4" s="99">
        <v>1</v>
      </c>
      <c r="T4" s="66" t="s">
        <v>14</v>
      </c>
      <c r="U4" s="100" t="s">
        <v>44</v>
      </c>
      <c r="V4" s="66" t="s">
        <v>13</v>
      </c>
      <c r="W4" s="98">
        <v>0</v>
      </c>
      <c r="X4" s="99">
        <v>0</v>
      </c>
      <c r="Y4" s="66" t="s">
        <v>14</v>
      </c>
      <c r="Z4" s="100" t="s">
        <v>45</v>
      </c>
      <c r="AA4" s="66" t="s">
        <v>13</v>
      </c>
      <c r="AB4" s="98">
        <v>1</v>
      </c>
      <c r="AC4" s="99">
        <v>0</v>
      </c>
      <c r="AD4" s="66" t="s">
        <v>14</v>
      </c>
      <c r="AE4" s="100" t="str">
        <f>_xlfn.DISPIMG("ID_248C55FF982E44BD9500F8B29AA9F2FE",1)</f>
        <v>=DISPIMG("ID_248C55FF982E44BD9500F8B29AA9F2FE",1)</v>
      </c>
      <c r="AF4" s="66" t="s">
        <v>16</v>
      </c>
      <c r="AG4" s="88" t="s">
        <v>773</v>
      </c>
      <c r="AH4" s="88"/>
      <c r="AI4" s="88"/>
      <c r="AJ4" s="210"/>
    </row>
    <row r="5" s="1" customFormat="1" ht="60" customHeight="1" spans="1:36">
      <c r="A5" s="62"/>
      <c r="B5" s="62"/>
      <c r="C5" s="64"/>
      <c r="D5" s="64"/>
      <c r="E5" s="64"/>
      <c r="F5" s="180"/>
      <c r="G5" s="181" t="s">
        <v>18</v>
      </c>
      <c r="H5" s="118" t="s">
        <v>774</v>
      </c>
      <c r="I5" s="127"/>
      <c r="J5" s="127"/>
      <c r="K5" s="127"/>
      <c r="L5" s="66" t="s">
        <v>20</v>
      </c>
      <c r="M5" s="101">
        <v>1</v>
      </c>
      <c r="N5" s="102">
        <v>0</v>
      </c>
      <c r="O5" s="66" t="s">
        <v>21</v>
      </c>
      <c r="P5" s="100" t="s">
        <v>22</v>
      </c>
      <c r="Q5" s="66" t="s">
        <v>20</v>
      </c>
      <c r="R5" s="101">
        <v>0</v>
      </c>
      <c r="S5" s="102">
        <v>0</v>
      </c>
      <c r="T5" s="66" t="s">
        <v>21</v>
      </c>
      <c r="U5" s="100" t="s">
        <v>22</v>
      </c>
      <c r="V5" s="66" t="s">
        <v>20</v>
      </c>
      <c r="W5" s="101">
        <v>2</v>
      </c>
      <c r="X5" s="102">
        <v>0</v>
      </c>
      <c r="Y5" s="66" t="s">
        <v>21</v>
      </c>
      <c r="Z5" s="100" t="s">
        <v>45</v>
      </c>
      <c r="AA5" s="66" t="s">
        <v>20</v>
      </c>
      <c r="AB5" s="101">
        <v>3</v>
      </c>
      <c r="AC5" s="102">
        <v>1</v>
      </c>
      <c r="AD5" s="66" t="s">
        <v>21</v>
      </c>
      <c r="AE5" s="100" t="s">
        <v>22</v>
      </c>
      <c r="AF5" s="66" t="s">
        <v>24</v>
      </c>
      <c r="AG5" s="89" t="s">
        <v>775</v>
      </c>
      <c r="AH5" s="89"/>
      <c r="AI5" s="89"/>
      <c r="AJ5" s="211"/>
    </row>
    <row r="6" s="1" customFormat="1" ht="71" customHeight="1" spans="1:36">
      <c r="A6" s="69" t="s">
        <v>26</v>
      </c>
      <c r="B6" s="70" t="s">
        <v>776</v>
      </c>
      <c r="C6" s="71"/>
      <c r="D6" s="71"/>
      <c r="E6" s="71"/>
      <c r="F6" s="182"/>
      <c r="G6" s="183"/>
      <c r="H6" s="184"/>
      <c r="I6" s="184"/>
      <c r="J6" s="184"/>
      <c r="K6" s="184"/>
      <c r="L6" s="193" t="s">
        <v>28</v>
      </c>
      <c r="M6" s="194" t="s">
        <v>777</v>
      </c>
      <c r="N6" s="194"/>
      <c r="O6" s="194"/>
      <c r="P6" s="194"/>
      <c r="Q6" s="193" t="s">
        <v>28</v>
      </c>
      <c r="R6" s="199" t="s">
        <v>778</v>
      </c>
      <c r="S6" s="194"/>
      <c r="T6" s="194"/>
      <c r="U6" s="194"/>
      <c r="V6" s="193" t="s">
        <v>28</v>
      </c>
      <c r="W6" s="200" t="s">
        <v>779</v>
      </c>
      <c r="X6" s="195"/>
      <c r="Y6" s="195"/>
      <c r="Z6" s="195"/>
      <c r="AA6" s="193" t="s">
        <v>28</v>
      </c>
      <c r="AB6" s="194" t="s">
        <v>780</v>
      </c>
      <c r="AC6" s="194"/>
      <c r="AD6" s="194"/>
      <c r="AE6" s="194"/>
      <c r="AF6" s="193"/>
      <c r="AG6" s="212"/>
      <c r="AH6" s="212"/>
      <c r="AI6" s="212"/>
      <c r="AJ6" s="213"/>
    </row>
    <row r="7" s="1" customFormat="1" ht="20" customHeight="1" spans="1:36">
      <c r="A7" s="69" t="s">
        <v>33</v>
      </c>
      <c r="B7" s="72" t="s">
        <v>781</v>
      </c>
      <c r="C7" s="72"/>
      <c r="D7" s="72"/>
      <c r="E7" s="72"/>
      <c r="F7" s="180" t="s">
        <v>35</v>
      </c>
      <c r="G7" s="179" t="s">
        <v>36</v>
      </c>
      <c r="H7" s="61"/>
      <c r="I7" s="61"/>
      <c r="J7" s="61"/>
      <c r="K7" s="61"/>
      <c r="L7" s="61" t="s">
        <v>782</v>
      </c>
      <c r="M7" s="61"/>
      <c r="N7" s="61"/>
      <c r="O7" s="61"/>
      <c r="P7" s="61"/>
      <c r="Q7" s="61" t="s">
        <v>783</v>
      </c>
      <c r="R7" s="61"/>
      <c r="S7" s="61"/>
      <c r="T7" s="61"/>
      <c r="U7" s="61"/>
      <c r="V7" s="61" t="s">
        <v>784</v>
      </c>
      <c r="W7" s="61"/>
      <c r="X7" s="61"/>
      <c r="Y7" s="61"/>
      <c r="Z7" s="61"/>
      <c r="AA7" s="61" t="s">
        <v>785</v>
      </c>
      <c r="AB7" s="61"/>
      <c r="AC7" s="61"/>
      <c r="AD7" s="61"/>
      <c r="AE7" s="61"/>
      <c r="AF7" s="61" t="s">
        <v>41</v>
      </c>
      <c r="AG7" s="61"/>
      <c r="AH7" s="61"/>
      <c r="AI7" s="61"/>
      <c r="AJ7" s="115"/>
    </row>
    <row r="8" s="1" customFormat="1" ht="60" customHeight="1" spans="1:36">
      <c r="A8" s="69"/>
      <c r="B8" s="72"/>
      <c r="C8" s="72"/>
      <c r="D8" s="72"/>
      <c r="E8" s="72"/>
      <c r="F8" s="180"/>
      <c r="G8" s="181" t="s">
        <v>11</v>
      </c>
      <c r="H8" s="67" t="s">
        <v>786</v>
      </c>
      <c r="I8" s="67"/>
      <c r="J8" s="67"/>
      <c r="K8" s="67"/>
      <c r="L8" s="66" t="s">
        <v>13</v>
      </c>
      <c r="M8" s="98">
        <v>1</v>
      </c>
      <c r="N8" s="99">
        <v>0</v>
      </c>
      <c r="O8" s="66" t="s">
        <v>14</v>
      </c>
      <c r="P8" s="100" t="s">
        <v>44</v>
      </c>
      <c r="Q8" s="66" t="s">
        <v>13</v>
      </c>
      <c r="R8" s="98">
        <v>0</v>
      </c>
      <c r="S8" s="99">
        <v>1</v>
      </c>
      <c r="T8" s="66" t="s">
        <v>14</v>
      </c>
      <c r="U8" s="100" t="s">
        <v>44</v>
      </c>
      <c r="V8" s="66" t="s">
        <v>13</v>
      </c>
      <c r="W8" s="98">
        <v>0</v>
      </c>
      <c r="X8" s="99">
        <v>1</v>
      </c>
      <c r="Y8" s="66" t="s">
        <v>14</v>
      </c>
      <c r="Z8" s="100" t="s">
        <v>45</v>
      </c>
      <c r="AA8" s="66" t="s">
        <v>13</v>
      </c>
      <c r="AB8" s="98">
        <v>1</v>
      </c>
      <c r="AC8" s="99">
        <v>0</v>
      </c>
      <c r="AD8" s="66" t="s">
        <v>14</v>
      </c>
      <c r="AE8" s="100" t="s">
        <v>67</v>
      </c>
      <c r="AF8" s="66" t="s">
        <v>16</v>
      </c>
      <c r="AG8" s="164" t="s">
        <v>787</v>
      </c>
      <c r="AH8" s="164"/>
      <c r="AI8" s="164"/>
      <c r="AJ8" s="165"/>
    </row>
    <row r="9" s="1" customFormat="1" ht="60" customHeight="1" spans="1:36">
      <c r="A9" s="69"/>
      <c r="B9" s="72"/>
      <c r="C9" s="72"/>
      <c r="D9" s="72"/>
      <c r="E9" s="72"/>
      <c r="F9" s="180"/>
      <c r="G9" s="181" t="s">
        <v>18</v>
      </c>
      <c r="H9" s="68" t="s">
        <v>788</v>
      </c>
      <c r="I9" s="68"/>
      <c r="J9" s="68"/>
      <c r="K9" s="68"/>
      <c r="L9" s="66" t="s">
        <v>20</v>
      </c>
      <c r="M9" s="101">
        <v>3</v>
      </c>
      <c r="N9" s="102">
        <v>0</v>
      </c>
      <c r="O9" s="66" t="s">
        <v>21</v>
      </c>
      <c r="P9" s="100" t="s">
        <v>789</v>
      </c>
      <c r="Q9" s="66" t="s">
        <v>20</v>
      </c>
      <c r="R9" s="101">
        <v>2</v>
      </c>
      <c r="S9" s="102">
        <v>0</v>
      </c>
      <c r="T9" s="66" t="s">
        <v>21</v>
      </c>
      <c r="U9" s="100" t="s">
        <v>22</v>
      </c>
      <c r="V9" s="66" t="s">
        <v>20</v>
      </c>
      <c r="W9" s="101">
        <v>1</v>
      </c>
      <c r="X9" s="102">
        <v>0</v>
      </c>
      <c r="Y9" s="66" t="s">
        <v>21</v>
      </c>
      <c r="Z9" s="100" t="s">
        <v>45</v>
      </c>
      <c r="AA9" s="66" t="s">
        <v>20</v>
      </c>
      <c r="AB9" s="101">
        <v>3</v>
      </c>
      <c r="AC9" s="102">
        <v>1</v>
      </c>
      <c r="AD9" s="66" t="s">
        <v>21</v>
      </c>
      <c r="AE9" s="100" t="s">
        <v>23</v>
      </c>
      <c r="AF9" s="66" t="s">
        <v>24</v>
      </c>
      <c r="AG9" s="214" t="s">
        <v>790</v>
      </c>
      <c r="AH9" s="215"/>
      <c r="AI9" s="215"/>
      <c r="AJ9" s="216"/>
    </row>
    <row r="10" s="1" customFormat="1" ht="73" customHeight="1" spans="1:36">
      <c r="A10" s="69" t="s">
        <v>49</v>
      </c>
      <c r="B10" s="72" t="s">
        <v>791</v>
      </c>
      <c r="C10" s="71"/>
      <c r="D10" s="71"/>
      <c r="E10" s="71"/>
      <c r="F10" s="180"/>
      <c r="G10" s="183"/>
      <c r="H10" s="185"/>
      <c r="I10" s="185"/>
      <c r="J10" s="185"/>
      <c r="K10" s="185"/>
      <c r="L10" s="193" t="s">
        <v>28</v>
      </c>
      <c r="M10" s="195" t="s">
        <v>792</v>
      </c>
      <c r="N10" s="195"/>
      <c r="O10" s="195"/>
      <c r="P10" s="195"/>
      <c r="Q10" s="193" t="s">
        <v>28</v>
      </c>
      <c r="R10" s="201" t="s">
        <v>793</v>
      </c>
      <c r="S10" s="202"/>
      <c r="T10" s="202"/>
      <c r="U10" s="202"/>
      <c r="V10" s="193" t="s">
        <v>28</v>
      </c>
      <c r="W10" s="203" t="s">
        <v>794</v>
      </c>
      <c r="X10" s="194"/>
      <c r="Y10" s="194"/>
      <c r="Z10" s="194"/>
      <c r="AA10" s="193" t="s">
        <v>28</v>
      </c>
      <c r="AB10" s="195" t="s">
        <v>795</v>
      </c>
      <c r="AC10" s="194"/>
      <c r="AD10" s="194"/>
      <c r="AE10" s="194"/>
      <c r="AF10" s="193"/>
      <c r="AG10" s="217"/>
      <c r="AH10" s="217"/>
      <c r="AI10" s="217"/>
      <c r="AJ10" s="218"/>
    </row>
    <row r="11" s="1" customFormat="1" ht="20" customHeight="1" spans="1:36">
      <c r="A11" s="78"/>
      <c r="B11" s="78"/>
      <c r="C11" s="78"/>
      <c r="D11" s="78"/>
      <c r="E11" s="78"/>
      <c r="F11" s="186" t="s">
        <v>55</v>
      </c>
      <c r="G11" s="179" t="s">
        <v>56</v>
      </c>
      <c r="H11" s="61"/>
      <c r="I11" s="61"/>
      <c r="J11" s="61"/>
      <c r="K11" s="61"/>
      <c r="L11" s="61" t="s">
        <v>796</v>
      </c>
      <c r="M11" s="61"/>
      <c r="N11" s="61"/>
      <c r="O11" s="61"/>
      <c r="P11" s="61"/>
      <c r="Q11" s="61" t="s">
        <v>797</v>
      </c>
      <c r="R11" s="61"/>
      <c r="S11" s="61"/>
      <c r="T11" s="61"/>
      <c r="U11" s="61"/>
      <c r="V11" s="61" t="s">
        <v>798</v>
      </c>
      <c r="W11" s="61"/>
      <c r="X11" s="61"/>
      <c r="Y11" s="61"/>
      <c r="Z11" s="61"/>
      <c r="AA11" s="61" t="s">
        <v>799</v>
      </c>
      <c r="AB11" s="61"/>
      <c r="AC11" s="61"/>
      <c r="AD11" s="61"/>
      <c r="AE11" s="61"/>
      <c r="AF11" s="61" t="s">
        <v>61</v>
      </c>
      <c r="AG11" s="61"/>
      <c r="AH11" s="61"/>
      <c r="AI11" s="61"/>
      <c r="AJ11" s="115"/>
    </row>
    <row r="12" s="1" customFormat="1" ht="60" customHeight="1" spans="1:36">
      <c r="A12" s="79" t="s">
        <v>62</v>
      </c>
      <c r="B12" s="80" t="str">
        <f>_xlfn.DISPIMG("ID_4CD972BBDD074BA3AE258CCA39F72B43",1)</f>
        <v>=DISPIMG("ID_4CD972BBDD074BA3AE258CCA39F72B43",1)</v>
      </c>
      <c r="C12" s="80"/>
      <c r="D12" s="80"/>
      <c r="E12" s="80"/>
      <c r="F12" s="180"/>
      <c r="G12" s="181" t="s">
        <v>11</v>
      </c>
      <c r="H12" s="74" t="s">
        <v>800</v>
      </c>
      <c r="I12" s="74"/>
      <c r="J12" s="74"/>
      <c r="K12" s="74"/>
      <c r="L12" s="66" t="s">
        <v>13</v>
      </c>
      <c r="M12" s="98">
        <v>1</v>
      </c>
      <c r="N12" s="99">
        <v>0</v>
      </c>
      <c r="O12" s="66" t="s">
        <v>14</v>
      </c>
      <c r="P12" s="100" t="s">
        <v>44</v>
      </c>
      <c r="Q12" s="66" t="s">
        <v>13</v>
      </c>
      <c r="R12" s="98">
        <v>0</v>
      </c>
      <c r="S12" s="99">
        <v>1</v>
      </c>
      <c r="T12" s="66" t="s">
        <v>14</v>
      </c>
      <c r="U12" s="100" t="s">
        <v>44</v>
      </c>
      <c r="V12" s="66" t="s">
        <v>13</v>
      </c>
      <c r="W12" s="98">
        <v>1</v>
      </c>
      <c r="X12" s="99">
        <v>0</v>
      </c>
      <c r="Y12" s="66" t="s">
        <v>14</v>
      </c>
      <c r="Z12" s="100" t="str">
        <f>_xlfn.DISPIMG("ID_D5AC2F74C7FF420590D83D4FBDDB3AA6",1)</f>
        <v>=DISPIMG("ID_D5AC2F74C7FF420590D83D4FBDDB3AA6",1)</v>
      </c>
      <c r="AA12" s="66" t="s">
        <v>13</v>
      </c>
      <c r="AB12" s="98">
        <v>1</v>
      </c>
      <c r="AC12" s="99">
        <v>0</v>
      </c>
      <c r="AD12" s="66" t="s">
        <v>14</v>
      </c>
      <c r="AE12" s="100" t="str">
        <f>_xlfn.DISPIMG("ID_F3AFEE223CA74EBC9DC67BEE17AE66C7",1)</f>
        <v>=DISPIMG("ID_F3AFEE223CA74EBC9DC67BEE17AE66C7",1)</v>
      </c>
      <c r="AF12" s="66" t="s">
        <v>16</v>
      </c>
      <c r="AG12" s="187" t="s">
        <v>801</v>
      </c>
      <c r="AH12" s="159"/>
      <c r="AI12" s="159"/>
      <c r="AJ12" s="160"/>
    </row>
    <row r="13" s="1" customFormat="1" ht="60" customHeight="1" spans="1:36">
      <c r="A13" s="82"/>
      <c r="B13" s="80"/>
      <c r="C13" s="80"/>
      <c r="D13" s="80"/>
      <c r="E13" s="80"/>
      <c r="F13" s="180"/>
      <c r="G13" s="181" t="s">
        <v>18</v>
      </c>
      <c r="H13" s="127" t="s">
        <v>802</v>
      </c>
      <c r="I13" s="127"/>
      <c r="J13" s="127"/>
      <c r="K13" s="127"/>
      <c r="L13" s="66" t="s">
        <v>20</v>
      </c>
      <c r="M13" s="101">
        <v>3</v>
      </c>
      <c r="N13" s="102">
        <v>0</v>
      </c>
      <c r="O13" s="66" t="s">
        <v>21</v>
      </c>
      <c r="P13" s="100" t="s">
        <v>803</v>
      </c>
      <c r="Q13" s="66" t="s">
        <v>20</v>
      </c>
      <c r="R13" s="101">
        <v>1</v>
      </c>
      <c r="S13" s="102">
        <v>0</v>
      </c>
      <c r="T13" s="66" t="s">
        <v>21</v>
      </c>
      <c r="U13" s="100" t="s">
        <v>22</v>
      </c>
      <c r="V13" s="66" t="s">
        <v>20</v>
      </c>
      <c r="W13" s="101">
        <v>4</v>
      </c>
      <c r="X13" s="102">
        <v>0</v>
      </c>
      <c r="Y13" s="66" t="s">
        <v>21</v>
      </c>
      <c r="Z13" s="100" t="s">
        <v>22</v>
      </c>
      <c r="AA13" s="66" t="s">
        <v>20</v>
      </c>
      <c r="AB13" s="101">
        <v>5</v>
      </c>
      <c r="AC13" s="102">
        <v>2</v>
      </c>
      <c r="AD13" s="66" t="s">
        <v>21</v>
      </c>
      <c r="AE13" s="100" t="s">
        <v>23</v>
      </c>
      <c r="AF13" s="66" t="s">
        <v>24</v>
      </c>
      <c r="AG13" s="197" t="s">
        <v>804</v>
      </c>
      <c r="AH13" s="215"/>
      <c r="AI13" s="215"/>
      <c r="AJ13" s="216"/>
    </row>
    <row r="14" s="1" customFormat="1" ht="60" customHeight="1" spans="1:36">
      <c r="A14" s="82"/>
      <c r="B14" s="80"/>
      <c r="C14" s="80"/>
      <c r="D14" s="80"/>
      <c r="E14" s="80"/>
      <c r="F14" s="182"/>
      <c r="G14" s="183"/>
      <c r="H14" s="184"/>
      <c r="I14" s="184"/>
      <c r="J14" s="184"/>
      <c r="K14" s="184"/>
      <c r="L14" s="94" t="s">
        <v>28</v>
      </c>
      <c r="M14" s="196" t="s">
        <v>805</v>
      </c>
      <c r="N14" s="196"/>
      <c r="O14" s="196"/>
      <c r="P14" s="196"/>
      <c r="Q14" s="193" t="s">
        <v>28</v>
      </c>
      <c r="R14" s="202" t="s">
        <v>806</v>
      </c>
      <c r="S14" s="194"/>
      <c r="T14" s="194"/>
      <c r="U14" s="194"/>
      <c r="V14" s="193" t="s">
        <v>28</v>
      </c>
      <c r="W14" s="204" t="s">
        <v>807</v>
      </c>
      <c r="X14" s="204"/>
      <c r="Y14" s="204"/>
      <c r="Z14" s="204"/>
      <c r="AA14" s="193" t="s">
        <v>28</v>
      </c>
      <c r="AB14" s="195" t="s">
        <v>808</v>
      </c>
      <c r="AC14" s="195"/>
      <c r="AD14" s="195"/>
      <c r="AE14" s="195"/>
      <c r="AF14" s="193"/>
      <c r="AG14" s="217"/>
      <c r="AH14" s="217"/>
      <c r="AI14" s="217"/>
      <c r="AJ14" s="218"/>
    </row>
    <row r="15" s="1" customFormat="1" ht="20" customHeight="1" spans="1:36">
      <c r="A15" s="83"/>
      <c r="B15" s="83"/>
      <c r="C15" s="83"/>
      <c r="D15" s="83"/>
      <c r="E15" s="83"/>
      <c r="F15" s="180" t="s">
        <v>77</v>
      </c>
      <c r="G15" s="179" t="s">
        <v>78</v>
      </c>
      <c r="H15" s="61"/>
      <c r="I15" s="61"/>
      <c r="J15" s="61"/>
      <c r="K15" s="61"/>
      <c r="L15" s="61" t="s">
        <v>809</v>
      </c>
      <c r="M15" s="61"/>
      <c r="N15" s="61"/>
      <c r="O15" s="61"/>
      <c r="P15" s="61"/>
      <c r="Q15" s="61" t="s">
        <v>810</v>
      </c>
      <c r="R15" s="61"/>
      <c r="S15" s="61"/>
      <c r="T15" s="61"/>
      <c r="U15" s="61"/>
      <c r="V15" s="61" t="s">
        <v>811</v>
      </c>
      <c r="W15" s="61"/>
      <c r="X15" s="61"/>
      <c r="Y15" s="61"/>
      <c r="Z15" s="61"/>
      <c r="AA15" s="61" t="s">
        <v>812</v>
      </c>
      <c r="AB15" s="61"/>
      <c r="AC15" s="61"/>
      <c r="AD15" s="61"/>
      <c r="AE15" s="61"/>
      <c r="AF15" s="61" t="s">
        <v>78</v>
      </c>
      <c r="AG15" s="61"/>
      <c r="AH15" s="61"/>
      <c r="AI15" s="61"/>
      <c r="AJ15" s="115"/>
    </row>
    <row r="16" s="1" customFormat="1" ht="60" customHeight="1" spans="1:36">
      <c r="A16" s="85" t="s">
        <v>83</v>
      </c>
      <c r="B16" s="86" t="s">
        <v>84</v>
      </c>
      <c r="C16" s="87"/>
      <c r="D16" s="87"/>
      <c r="E16" s="87"/>
      <c r="F16" s="180"/>
      <c r="G16" s="181" t="s">
        <v>16</v>
      </c>
      <c r="H16" s="187" t="s">
        <v>813</v>
      </c>
      <c r="I16" s="159"/>
      <c r="J16" s="159"/>
      <c r="K16" s="159"/>
      <c r="L16" s="66" t="s">
        <v>13</v>
      </c>
      <c r="M16" s="98">
        <v>0</v>
      </c>
      <c r="N16" s="99">
        <v>0</v>
      </c>
      <c r="O16" s="66" t="s">
        <v>14</v>
      </c>
      <c r="P16" s="100" t="str">
        <f>_xlfn.DISPIMG("ID_AD760882527B4A8DB6A83F4BB3BC4450",1)</f>
        <v>=DISPIMG("ID_AD760882527B4A8DB6A83F4BB3BC4450",1)</v>
      </c>
      <c r="Q16" s="66" t="s">
        <v>13</v>
      </c>
      <c r="R16" s="98">
        <v>0</v>
      </c>
      <c r="S16" s="99">
        <v>0</v>
      </c>
      <c r="T16" s="66" t="s">
        <v>14</v>
      </c>
      <c r="U16" s="100" t="s">
        <v>45</v>
      </c>
      <c r="V16" s="66" t="s">
        <v>13</v>
      </c>
      <c r="W16" s="98">
        <v>1</v>
      </c>
      <c r="X16" s="99">
        <v>0</v>
      </c>
      <c r="Y16" s="66" t="s">
        <v>14</v>
      </c>
      <c r="Z16" s="100" t="s">
        <v>44</v>
      </c>
      <c r="AA16" s="66" t="s">
        <v>13</v>
      </c>
      <c r="AB16" s="98">
        <v>1</v>
      </c>
      <c r="AC16" s="99">
        <v>1</v>
      </c>
      <c r="AD16" s="66" t="s">
        <v>14</v>
      </c>
      <c r="AE16" s="100" t="s">
        <v>44</v>
      </c>
      <c r="AF16" s="66" t="s">
        <v>16</v>
      </c>
      <c r="AG16" s="88" t="s">
        <v>134</v>
      </c>
      <c r="AH16" s="88"/>
      <c r="AI16" s="88"/>
      <c r="AJ16" s="210"/>
    </row>
    <row r="17" s="1" customFormat="1" ht="60" customHeight="1" spans="1:36">
      <c r="A17" s="85" t="s">
        <v>87</v>
      </c>
      <c r="B17" s="86" t="s">
        <v>88</v>
      </c>
      <c r="C17" s="87"/>
      <c r="D17" s="87"/>
      <c r="E17" s="87"/>
      <c r="F17" s="180"/>
      <c r="G17" s="181" t="s">
        <v>24</v>
      </c>
      <c r="H17" s="188" t="s">
        <v>814</v>
      </c>
      <c r="I17" s="197"/>
      <c r="J17" s="197"/>
      <c r="K17" s="197"/>
      <c r="L17" s="66" t="s">
        <v>20</v>
      </c>
      <c r="M17" s="101">
        <v>10</v>
      </c>
      <c r="N17" s="102">
        <v>0</v>
      </c>
      <c r="O17" s="66" t="s">
        <v>21</v>
      </c>
      <c r="P17" s="100" t="s">
        <v>45</v>
      </c>
      <c r="Q17" s="66" t="s">
        <v>20</v>
      </c>
      <c r="R17" s="101">
        <v>6</v>
      </c>
      <c r="S17" s="102">
        <v>0</v>
      </c>
      <c r="T17" s="66" t="s">
        <v>21</v>
      </c>
      <c r="U17" s="100" t="s">
        <v>45</v>
      </c>
      <c r="V17" s="66" t="s">
        <v>20</v>
      </c>
      <c r="W17" s="101">
        <v>5</v>
      </c>
      <c r="X17" s="102">
        <v>0</v>
      </c>
      <c r="Y17" s="66" t="s">
        <v>21</v>
      </c>
      <c r="Z17" s="100" t="s">
        <v>22</v>
      </c>
      <c r="AA17" s="66" t="s">
        <v>20</v>
      </c>
      <c r="AB17" s="101">
        <v>0</v>
      </c>
      <c r="AC17" s="102">
        <v>3</v>
      </c>
      <c r="AD17" s="66" t="s">
        <v>21</v>
      </c>
      <c r="AE17" s="100" t="s">
        <v>22</v>
      </c>
      <c r="AF17" s="66" t="s">
        <v>24</v>
      </c>
      <c r="AG17" s="89" t="s">
        <v>815</v>
      </c>
      <c r="AH17" s="89"/>
      <c r="AI17" s="89"/>
      <c r="AJ17" s="211"/>
    </row>
    <row r="18" s="1" customFormat="1" ht="80" customHeight="1" spans="1:36">
      <c r="A18" s="90" t="s">
        <v>151</v>
      </c>
      <c r="B18" s="91" t="s">
        <v>93</v>
      </c>
      <c r="C18" s="92"/>
      <c r="D18" s="92"/>
      <c r="E18" s="92"/>
      <c r="F18" s="189"/>
      <c r="G18" s="190"/>
      <c r="H18" s="191"/>
      <c r="I18" s="191"/>
      <c r="J18" s="191"/>
      <c r="K18" s="191"/>
      <c r="L18" s="94" t="s">
        <v>28</v>
      </c>
      <c r="M18" s="198" t="s">
        <v>816</v>
      </c>
      <c r="N18" s="196"/>
      <c r="O18" s="196"/>
      <c r="P18" s="196"/>
      <c r="Q18" s="94" t="s">
        <v>28</v>
      </c>
      <c r="R18" s="196" t="s">
        <v>817</v>
      </c>
      <c r="S18" s="196"/>
      <c r="T18" s="196"/>
      <c r="U18" s="196"/>
      <c r="V18" s="94" t="s">
        <v>28</v>
      </c>
      <c r="W18" s="196" t="s">
        <v>818</v>
      </c>
      <c r="X18" s="196"/>
      <c r="Y18" s="196"/>
      <c r="Z18" s="196"/>
      <c r="AA18" s="94" t="s">
        <v>28</v>
      </c>
      <c r="AB18" s="207" t="s">
        <v>819</v>
      </c>
      <c r="AC18" s="207"/>
      <c r="AD18" s="207"/>
      <c r="AE18" s="207"/>
      <c r="AF18" s="94"/>
      <c r="AG18" s="95"/>
      <c r="AH18" s="95"/>
      <c r="AI18" s="95"/>
      <c r="AJ18" s="219"/>
    </row>
    <row r="47" spans="18:18">
      <c r="R47"/>
    </row>
  </sheetData>
  <sheetProtection selectLockedCells="1" formatCells="0" formatColumns="0" formatRows="0" insertRows="0" insertColumns="0" insertHyperlinks="0" deleteColumns="0" deleteRows="0" sort="0" autoFilter="0" pivotTables="0"/>
  <mergeCells count="86">
    <mergeCell ref="B1:C1"/>
    <mergeCell ref="D1:E1"/>
    <mergeCell ref="L1:P1"/>
    <mergeCell ref="Q1:U1"/>
    <mergeCell ref="V1:Z1"/>
    <mergeCell ref="AA1:AE1"/>
    <mergeCell ref="AF1:AJ1"/>
    <mergeCell ref="G3:K3"/>
    <mergeCell ref="L3:P3"/>
    <mergeCell ref="Q3:U3"/>
    <mergeCell ref="V3:Z3"/>
    <mergeCell ref="AA3:AE3"/>
    <mergeCell ref="AF3:AJ3"/>
    <mergeCell ref="H4:K4"/>
    <mergeCell ref="AG4:AJ4"/>
    <mergeCell ref="B6:E6"/>
    <mergeCell ref="M6:P6"/>
    <mergeCell ref="R6:U6"/>
    <mergeCell ref="W6:Z6"/>
    <mergeCell ref="AB6:AE6"/>
    <mergeCell ref="G7:K7"/>
    <mergeCell ref="L7:P7"/>
    <mergeCell ref="Q7:U7"/>
    <mergeCell ref="V7:Z7"/>
    <mergeCell ref="AA7:AE7"/>
    <mergeCell ref="AF7:AJ7"/>
    <mergeCell ref="H8:K8"/>
    <mergeCell ref="AG8:AJ8"/>
    <mergeCell ref="B10:E10"/>
    <mergeCell ref="M10:P10"/>
    <mergeCell ref="R10:U10"/>
    <mergeCell ref="W10:Z10"/>
    <mergeCell ref="AB10:AE10"/>
    <mergeCell ref="G11:K11"/>
    <mergeCell ref="L11:P11"/>
    <mergeCell ref="Q11:U11"/>
    <mergeCell ref="V11:Z11"/>
    <mergeCell ref="AA11:AE11"/>
    <mergeCell ref="AF11:AJ11"/>
    <mergeCell ref="H12:K12"/>
    <mergeCell ref="AG12:AJ12"/>
    <mergeCell ref="M14:P14"/>
    <mergeCell ref="R14:U14"/>
    <mergeCell ref="W14:Z14"/>
    <mergeCell ref="AB14:AE14"/>
    <mergeCell ref="G15:K15"/>
    <mergeCell ref="L15:P15"/>
    <mergeCell ref="Q15:U15"/>
    <mergeCell ref="V15:Z15"/>
    <mergeCell ref="AA15:AE15"/>
    <mergeCell ref="AF15:AJ15"/>
    <mergeCell ref="B16:E16"/>
    <mergeCell ref="H16:K16"/>
    <mergeCell ref="AG16:AJ16"/>
    <mergeCell ref="B17:E17"/>
    <mergeCell ref="B18:E18"/>
    <mergeCell ref="M18:P18"/>
    <mergeCell ref="R18:U18"/>
    <mergeCell ref="W18:Z18"/>
    <mergeCell ref="AB18:AE18"/>
    <mergeCell ref="A7:A9"/>
    <mergeCell ref="A12:A14"/>
    <mergeCell ref="F3:F6"/>
    <mergeCell ref="F7:F10"/>
    <mergeCell ref="F11:F14"/>
    <mergeCell ref="F15:F18"/>
    <mergeCell ref="G5:G6"/>
    <mergeCell ref="G9:G10"/>
    <mergeCell ref="G13:G14"/>
    <mergeCell ref="G17:G18"/>
    <mergeCell ref="AF5:AF6"/>
    <mergeCell ref="AF9:AF10"/>
    <mergeCell ref="AF13:AF14"/>
    <mergeCell ref="AF17:AF18"/>
    <mergeCell ref="A4:B5"/>
    <mergeCell ref="C4:E5"/>
    <mergeCell ref="B7:E9"/>
    <mergeCell ref="B12:E14"/>
    <mergeCell ref="H5:K6"/>
    <mergeCell ref="AG5:AJ6"/>
    <mergeCell ref="H9:K10"/>
    <mergeCell ref="AG9:AJ10"/>
    <mergeCell ref="H13:K14"/>
    <mergeCell ref="AG13:AJ14"/>
    <mergeCell ref="H17:K18"/>
    <mergeCell ref="AG17:AJ18"/>
  </mergeCells>
  <conditionalFormatting sqref="M4">
    <cfRule type="cellIs" dxfId="0" priority="52" operator="equal">
      <formula>0</formula>
    </cfRule>
  </conditionalFormatting>
  <conditionalFormatting sqref="N4">
    <cfRule type="cellIs" dxfId="0" priority="53" operator="equal">
      <formula>0</formula>
    </cfRule>
  </conditionalFormatting>
  <conditionalFormatting sqref="R4">
    <cfRule type="cellIs" dxfId="0" priority="49" operator="equal">
      <formula>0</formula>
    </cfRule>
  </conditionalFormatting>
  <conditionalFormatting sqref="S4">
    <cfRule type="cellIs" dxfId="0" priority="50" operator="equal">
      <formula>0</formula>
    </cfRule>
  </conditionalFormatting>
  <conditionalFormatting sqref="W4">
    <cfRule type="cellIs" dxfId="0" priority="46" operator="equal">
      <formula>0</formula>
    </cfRule>
  </conditionalFormatting>
  <conditionalFormatting sqref="X4">
    <cfRule type="cellIs" dxfId="0" priority="47" operator="equal">
      <formula>0</formula>
    </cfRule>
  </conditionalFormatting>
  <conditionalFormatting sqref="AB4">
    <cfRule type="cellIs" dxfId="0" priority="43" operator="equal">
      <formula>0</formula>
    </cfRule>
  </conditionalFormatting>
  <conditionalFormatting sqref="AC4">
    <cfRule type="cellIs" dxfId="0" priority="44" operator="equal">
      <formula>0</formula>
    </cfRule>
  </conditionalFormatting>
  <conditionalFormatting sqref="M8">
    <cfRule type="cellIs" dxfId="0" priority="40" operator="equal">
      <formula>0</formula>
    </cfRule>
  </conditionalFormatting>
  <conditionalFormatting sqref="N8">
    <cfRule type="cellIs" dxfId="0" priority="41" operator="equal">
      <formula>0</formula>
    </cfRule>
  </conditionalFormatting>
  <conditionalFormatting sqref="R8">
    <cfRule type="cellIs" dxfId="0" priority="37" operator="equal">
      <formula>0</formula>
    </cfRule>
  </conditionalFormatting>
  <conditionalFormatting sqref="S8">
    <cfRule type="cellIs" dxfId="0" priority="38" operator="equal">
      <formula>0</formula>
    </cfRule>
  </conditionalFormatting>
  <conditionalFormatting sqref="W8">
    <cfRule type="cellIs" dxfId="0" priority="13" operator="equal">
      <formula>0</formula>
    </cfRule>
  </conditionalFormatting>
  <conditionalFormatting sqref="X8">
    <cfRule type="cellIs" dxfId="0" priority="14" operator="equal">
      <formula>0</formula>
    </cfRule>
  </conditionalFormatting>
  <conditionalFormatting sqref="AB8">
    <cfRule type="cellIs" dxfId="0" priority="34" operator="equal">
      <formula>0</formula>
    </cfRule>
  </conditionalFormatting>
  <conditionalFormatting sqref="AC8">
    <cfRule type="cellIs" dxfId="0" priority="35" operator="equal">
      <formula>0</formula>
    </cfRule>
  </conditionalFormatting>
  <conditionalFormatting sqref="M12">
    <cfRule type="cellIs" dxfId="0" priority="4" operator="equal">
      <formula>0</formula>
    </cfRule>
  </conditionalFormatting>
  <conditionalFormatting sqref="N12">
    <cfRule type="cellIs" dxfId="0" priority="5" operator="equal">
      <formula>0</formula>
    </cfRule>
  </conditionalFormatting>
  <conditionalFormatting sqref="R12">
    <cfRule type="cellIs" dxfId="0" priority="28" operator="equal">
      <formula>0</formula>
    </cfRule>
  </conditionalFormatting>
  <conditionalFormatting sqref="S12">
    <cfRule type="cellIs" dxfId="0" priority="29" operator="equal">
      <formula>0</formula>
    </cfRule>
  </conditionalFormatting>
  <conditionalFormatting sqref="W12">
    <cfRule type="cellIs" dxfId="0" priority="25" operator="equal">
      <formula>0</formula>
    </cfRule>
  </conditionalFormatting>
  <conditionalFormatting sqref="X12">
    <cfRule type="cellIs" dxfId="0" priority="26" operator="equal">
      <formula>0</formula>
    </cfRule>
  </conditionalFormatting>
  <conditionalFormatting sqref="AB12">
    <cfRule type="cellIs" dxfId="0" priority="22" operator="equal">
      <formula>0</formula>
    </cfRule>
  </conditionalFormatting>
  <conditionalFormatting sqref="AC12">
    <cfRule type="cellIs" dxfId="0" priority="23" operator="equal">
      <formula>0</formula>
    </cfRule>
  </conditionalFormatting>
  <conditionalFormatting sqref="M16">
    <cfRule type="cellIs" dxfId="0" priority="1" operator="equal">
      <formula>0</formula>
    </cfRule>
  </conditionalFormatting>
  <conditionalFormatting sqref="N16">
    <cfRule type="cellIs" dxfId="0" priority="2" operator="equal">
      <formula>0</formula>
    </cfRule>
  </conditionalFormatting>
  <conditionalFormatting sqref="R16">
    <cfRule type="cellIs" dxfId="0" priority="10" operator="equal">
      <formula>0</formula>
    </cfRule>
  </conditionalFormatting>
  <conditionalFormatting sqref="S16">
    <cfRule type="cellIs" dxfId="0" priority="11" operator="equal">
      <formula>0</formula>
    </cfRule>
  </conditionalFormatting>
  <conditionalFormatting sqref="W16">
    <cfRule type="cellIs" dxfId="0" priority="19" operator="equal">
      <formula>0</formula>
    </cfRule>
  </conditionalFormatting>
  <conditionalFormatting sqref="X16">
    <cfRule type="cellIs" dxfId="0" priority="20" operator="equal">
      <formula>0</formula>
    </cfRule>
  </conditionalFormatting>
  <conditionalFormatting sqref="AB16">
    <cfRule type="cellIs" dxfId="0" priority="7" operator="equal">
      <formula>0</formula>
    </cfRule>
  </conditionalFormatting>
  <conditionalFormatting sqref="AC16">
    <cfRule type="cellIs" dxfId="0" priority="8" operator="equal">
      <formula>0</formula>
    </cfRule>
  </conditionalFormatting>
  <conditionalFormatting sqref="M4:N5">
    <cfRule type="cellIs" dxfId="1" priority="54" operator="equal">
      <formula>0</formula>
    </cfRule>
  </conditionalFormatting>
  <conditionalFormatting sqref="R4:S5">
    <cfRule type="cellIs" dxfId="1" priority="51" operator="equal">
      <formula>0</formula>
    </cfRule>
  </conditionalFormatting>
  <conditionalFormatting sqref="W4:X5">
    <cfRule type="cellIs" dxfId="1" priority="48" operator="equal">
      <formula>0</formula>
    </cfRule>
  </conditionalFormatting>
  <conditionalFormatting sqref="AB4:AC5">
    <cfRule type="cellIs" dxfId="1" priority="45" operator="equal">
      <formula>0</formula>
    </cfRule>
  </conditionalFormatting>
  <conditionalFormatting sqref="M8:N9">
    <cfRule type="cellIs" dxfId="1" priority="42" operator="equal">
      <formula>0</formula>
    </cfRule>
  </conditionalFormatting>
  <conditionalFormatting sqref="R8:S9">
    <cfRule type="cellIs" dxfId="1" priority="39" operator="equal">
      <formula>0</formula>
    </cfRule>
  </conditionalFormatting>
  <conditionalFormatting sqref="W8:X9">
    <cfRule type="cellIs" dxfId="1" priority="15" operator="equal">
      <formula>0</formula>
    </cfRule>
  </conditionalFormatting>
  <conditionalFormatting sqref="AB8:AC9">
    <cfRule type="cellIs" dxfId="1" priority="36" operator="equal">
      <formula>0</formula>
    </cfRule>
  </conditionalFormatting>
  <conditionalFormatting sqref="M12:N13">
    <cfRule type="cellIs" dxfId="1" priority="6" operator="equal">
      <formula>0</formula>
    </cfRule>
  </conditionalFormatting>
  <conditionalFormatting sqref="R12:S13">
    <cfRule type="cellIs" dxfId="1" priority="30" operator="equal">
      <formula>0</formula>
    </cfRule>
  </conditionalFormatting>
  <conditionalFormatting sqref="W12:X13">
    <cfRule type="cellIs" dxfId="1" priority="27" operator="equal">
      <formula>0</formula>
    </cfRule>
  </conditionalFormatting>
  <conditionalFormatting sqref="AB12:AC13">
    <cfRule type="cellIs" dxfId="1" priority="24" operator="equal">
      <formula>0</formula>
    </cfRule>
  </conditionalFormatting>
  <conditionalFormatting sqref="M16:N17">
    <cfRule type="cellIs" dxfId="1" priority="3" operator="equal">
      <formula>0</formula>
    </cfRule>
  </conditionalFormatting>
  <conditionalFormatting sqref="R16:S17">
    <cfRule type="cellIs" dxfId="1" priority="12" operator="equal">
      <formula>0</formula>
    </cfRule>
  </conditionalFormatting>
  <conditionalFormatting sqref="W16:X17">
    <cfRule type="cellIs" dxfId="1" priority="21" operator="equal">
      <formula>0</formula>
    </cfRule>
  </conditionalFormatting>
  <conditionalFormatting sqref="AB16:AC17">
    <cfRule type="cellIs" dxfId="1" priority="9" operator="equal">
      <formula>0</formula>
    </cfRule>
  </conditionalFormatting>
  <pageMargins left="0.75" right="0.75" top="1" bottom="1" header="0.5" footer="0.5"/>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sheetPr>
  <dimension ref="A1:AJ47"/>
  <sheetViews>
    <sheetView showGridLines="0" zoomScale="70" zoomScaleNormal="70" topLeftCell="L9" workbookViewId="0">
      <selection activeCell="S17" sqref="S17"/>
    </sheetView>
  </sheetViews>
  <sheetFormatPr defaultColWidth="8.89090909090909" defaultRowHeight="16.5"/>
  <cols>
    <col min="1" max="1" width="9.14545454545454" style="1" customWidth="1"/>
    <col min="2" max="4" width="8.89090909090909" style="1"/>
    <col min="5" max="5" width="9.83636363636364" style="1" customWidth="1"/>
    <col min="6" max="6" width="4.34545454545455" style="1" customWidth="1"/>
    <col min="7" max="7" width="5.71818181818182" style="1" customWidth="1"/>
    <col min="8" max="8" width="8.89090909090909" style="1"/>
    <col min="9" max="9" width="9.83636363636364" style="1" customWidth="1"/>
    <col min="10" max="10" width="6.97272727272727" style="1" customWidth="1"/>
    <col min="11" max="11" width="8.89090909090909" style="1"/>
    <col min="12" max="12" width="5.77272727272727" style="1" customWidth="1"/>
    <col min="13" max="14" width="8.77272727272727" style="1" customWidth="1"/>
    <col min="15" max="15" width="5.77272727272727" style="1" customWidth="1"/>
    <col min="16" max="16" width="16.8272727272727" style="1" customWidth="1"/>
    <col min="17" max="17" width="5.77272727272727" style="1" customWidth="1"/>
    <col min="18" max="19" width="8.77272727272727" style="1" customWidth="1"/>
    <col min="20" max="20" width="5.77272727272727" style="1" customWidth="1"/>
    <col min="21" max="21" width="14.7727272727273" style="1" customWidth="1"/>
    <col min="22" max="22" width="5.77272727272727" style="1" customWidth="1"/>
    <col min="23" max="24" width="8.77272727272727" style="1" customWidth="1"/>
    <col min="25" max="25" width="5.77272727272727" style="1" customWidth="1"/>
    <col min="26" max="26" width="14.7727272727273" style="1" customWidth="1"/>
    <col min="27" max="27" width="5.77272727272727" style="1" customWidth="1"/>
    <col min="28" max="29" width="8.77272727272727" style="1" customWidth="1"/>
    <col min="30" max="30" width="5.77272727272727" style="1" customWidth="1"/>
    <col min="31" max="31" width="14.7727272727273" style="1" customWidth="1"/>
    <col min="32" max="32" width="5.71818181818182" style="1" customWidth="1"/>
    <col min="33" max="16384" width="8.89090909090909" style="1"/>
  </cols>
  <sheetData>
    <row r="1" ht="61" customHeight="1" spans="1:31">
      <c r="A1" s="53" t="str">
        <f>_xlfn.DISPIMG("ID_A7A0BBEF03284B95B3B237F31C2558B2",1)</f>
        <v>=DISPIMG("ID_A7A0BBEF03284B95B3B237F31C2558B2",1)</v>
      </c>
      <c r="B1" s="54" t="s">
        <v>820</v>
      </c>
      <c r="C1" s="54"/>
      <c r="D1" s="55" t="s">
        <v>1</v>
      </c>
      <c r="E1" s="56"/>
      <c r="F1" s="5"/>
      <c r="G1" s="123" t="s">
        <v>821</v>
      </c>
      <c r="H1" s="124"/>
      <c r="I1" s="124"/>
      <c r="J1" s="124"/>
      <c r="K1" s="124"/>
      <c r="L1" s="109"/>
      <c r="M1" s="5"/>
      <c r="N1" s="5"/>
      <c r="O1" s="5"/>
      <c r="P1" s="5"/>
      <c r="Q1" s="109"/>
      <c r="R1" s="5"/>
      <c r="S1" s="5"/>
      <c r="T1" s="5"/>
      <c r="U1" s="5"/>
      <c r="V1" s="109"/>
      <c r="W1" s="5"/>
      <c r="X1" s="5"/>
      <c r="Y1" s="5"/>
      <c r="Z1" s="5"/>
      <c r="AA1" s="109"/>
      <c r="AB1" s="5"/>
      <c r="AC1" s="5"/>
      <c r="AD1" s="5"/>
      <c r="AE1" s="5"/>
    </row>
    <row r="2" ht="12" customHeight="1" spans="1:31">
      <c r="A2" s="58"/>
      <c r="B2" s="58"/>
      <c r="C2" s="58"/>
      <c r="D2" s="58"/>
      <c r="E2" s="58"/>
      <c r="F2" s="59"/>
      <c r="L2" s="97"/>
      <c r="M2" s="59"/>
      <c r="N2" s="59"/>
      <c r="O2" s="59"/>
      <c r="P2" s="59"/>
      <c r="Q2" s="97"/>
      <c r="R2" s="59"/>
      <c r="S2" s="59"/>
      <c r="T2" s="59"/>
      <c r="U2" s="59"/>
      <c r="V2" s="97"/>
      <c r="W2" s="59"/>
      <c r="X2" s="59"/>
      <c r="Y2" s="59"/>
      <c r="Z2" s="59"/>
      <c r="AA2" s="97"/>
      <c r="AB2" s="59"/>
      <c r="AC2" s="59"/>
      <c r="AD2" s="59"/>
      <c r="AE2" s="59"/>
    </row>
    <row r="3" ht="15" customHeight="1" spans="1:36">
      <c r="A3" s="58"/>
      <c r="B3" s="58"/>
      <c r="C3" s="58"/>
      <c r="D3" s="58"/>
      <c r="E3" s="58"/>
      <c r="F3" s="60" t="s">
        <v>3</v>
      </c>
      <c r="G3" s="61" t="s">
        <v>4</v>
      </c>
      <c r="H3" s="61"/>
      <c r="I3" s="61"/>
      <c r="J3" s="61"/>
      <c r="K3" s="61"/>
      <c r="L3" s="106" t="s">
        <v>822</v>
      </c>
      <c r="M3" s="61"/>
      <c r="N3" s="61"/>
      <c r="O3" s="61"/>
      <c r="P3" s="61"/>
      <c r="Q3" s="106" t="s">
        <v>823</v>
      </c>
      <c r="R3" s="61"/>
      <c r="S3" s="61"/>
      <c r="T3" s="61"/>
      <c r="U3" s="61"/>
      <c r="V3" s="106" t="s">
        <v>824</v>
      </c>
      <c r="W3" s="61"/>
      <c r="X3" s="61"/>
      <c r="Y3" s="61"/>
      <c r="Z3" s="61"/>
      <c r="AA3" s="106" t="s">
        <v>825</v>
      </c>
      <c r="AB3" s="61"/>
      <c r="AC3" s="61"/>
      <c r="AD3" s="61"/>
      <c r="AE3" s="61"/>
      <c r="AF3" s="61" t="s">
        <v>9</v>
      </c>
      <c r="AG3" s="61"/>
      <c r="AH3" s="61"/>
      <c r="AI3" s="61"/>
      <c r="AJ3" s="115"/>
    </row>
    <row r="4" ht="48" customHeight="1" spans="1:36">
      <c r="A4" s="62" t="str">
        <f>_xlfn.DISPIMG("ID_44592E6BD30A44C79E6FE4556A882D03",1)</f>
        <v>=DISPIMG("ID_44592E6BD30A44C79E6FE4556A882D03",1)</v>
      </c>
      <c r="B4" s="62"/>
      <c r="C4" s="63" t="s">
        <v>826</v>
      </c>
      <c r="D4" s="64"/>
      <c r="E4" s="64"/>
      <c r="F4" s="65"/>
      <c r="G4" s="66" t="s">
        <v>11</v>
      </c>
      <c r="H4" s="74" t="s">
        <v>827</v>
      </c>
      <c r="I4" s="74"/>
      <c r="J4" s="74"/>
      <c r="K4" s="74"/>
      <c r="L4" s="66" t="s">
        <v>13</v>
      </c>
      <c r="M4" s="98">
        <v>0</v>
      </c>
      <c r="N4" s="99">
        <v>1</v>
      </c>
      <c r="O4" s="66" t="s">
        <v>14</v>
      </c>
      <c r="P4" s="100" t="s">
        <v>44</v>
      </c>
      <c r="Q4" s="66" t="s">
        <v>13</v>
      </c>
      <c r="R4" s="98">
        <v>1</v>
      </c>
      <c r="S4" s="99">
        <v>0</v>
      </c>
      <c r="T4" s="66" t="s">
        <v>14</v>
      </c>
      <c r="U4" s="100" t="s">
        <v>44</v>
      </c>
      <c r="V4" s="66" t="s">
        <v>13</v>
      </c>
      <c r="W4" s="98">
        <v>1</v>
      </c>
      <c r="X4" s="99">
        <v>0</v>
      </c>
      <c r="Y4" s="66" t="s">
        <v>14</v>
      </c>
      <c r="Z4" s="100" t="s">
        <v>44</v>
      </c>
      <c r="AA4" s="66" t="s">
        <v>13</v>
      </c>
      <c r="AB4" s="98">
        <v>0</v>
      </c>
      <c r="AC4" s="99">
        <v>0</v>
      </c>
      <c r="AD4" s="66" t="s">
        <v>14</v>
      </c>
      <c r="AE4" s="100" t="s">
        <v>44</v>
      </c>
      <c r="AF4" s="66" t="s">
        <v>16</v>
      </c>
      <c r="AG4" s="159" t="s">
        <v>828</v>
      </c>
      <c r="AH4" s="159"/>
      <c r="AI4" s="159"/>
      <c r="AJ4" s="160"/>
    </row>
    <row r="5" ht="48" customHeight="1" spans="1:36">
      <c r="A5" s="62"/>
      <c r="B5" s="62"/>
      <c r="C5" s="64"/>
      <c r="D5" s="64"/>
      <c r="E5" s="64"/>
      <c r="F5" s="65"/>
      <c r="G5" s="66" t="s">
        <v>18</v>
      </c>
      <c r="H5" s="125" t="s">
        <v>829</v>
      </c>
      <c r="I5" s="126"/>
      <c r="J5" s="126"/>
      <c r="K5" s="126"/>
      <c r="L5" s="66" t="s">
        <v>20</v>
      </c>
      <c r="M5" s="101">
        <v>0</v>
      </c>
      <c r="N5" s="102">
        <v>0</v>
      </c>
      <c r="O5" s="66" t="s">
        <v>21</v>
      </c>
      <c r="P5" s="100" t="s">
        <v>22</v>
      </c>
      <c r="Q5" s="66" t="s">
        <v>20</v>
      </c>
      <c r="R5" s="101">
        <v>0</v>
      </c>
      <c r="S5" s="102">
        <v>0</v>
      </c>
      <c r="T5" s="66" t="s">
        <v>21</v>
      </c>
      <c r="U5" s="100" t="s">
        <v>22</v>
      </c>
      <c r="V5" s="66" t="s">
        <v>20</v>
      </c>
      <c r="W5" s="101">
        <v>0</v>
      </c>
      <c r="X5" s="102">
        <v>0</v>
      </c>
      <c r="Y5" s="66" t="s">
        <v>21</v>
      </c>
      <c r="Z5" s="100" t="s">
        <v>22</v>
      </c>
      <c r="AA5" s="66" t="s">
        <v>20</v>
      </c>
      <c r="AB5" s="101">
        <v>5</v>
      </c>
      <c r="AC5" s="102">
        <v>0</v>
      </c>
      <c r="AD5" s="66" t="s">
        <v>21</v>
      </c>
      <c r="AE5" s="100" t="s">
        <v>23</v>
      </c>
      <c r="AF5" s="66" t="s">
        <v>24</v>
      </c>
      <c r="AG5" s="161" t="s">
        <v>830</v>
      </c>
      <c r="AH5" s="161"/>
      <c r="AI5" s="161"/>
      <c r="AJ5" s="162"/>
    </row>
    <row r="6" ht="70" customHeight="1" spans="1:36">
      <c r="A6" s="69" t="s">
        <v>26</v>
      </c>
      <c r="B6" s="70" t="s">
        <v>831</v>
      </c>
      <c r="C6" s="71"/>
      <c r="D6" s="71"/>
      <c r="E6" s="71"/>
      <c r="F6" s="65"/>
      <c r="G6" s="66"/>
      <c r="H6" s="126"/>
      <c r="I6" s="126"/>
      <c r="J6" s="126"/>
      <c r="K6" s="126"/>
      <c r="L6" s="66" t="s">
        <v>28</v>
      </c>
      <c r="M6" s="141" t="s">
        <v>832</v>
      </c>
      <c r="N6" s="141"/>
      <c r="O6" s="141"/>
      <c r="P6" s="141"/>
      <c r="Q6" s="66" t="s">
        <v>28</v>
      </c>
      <c r="R6" s="107" t="s">
        <v>833</v>
      </c>
      <c r="S6" s="107"/>
      <c r="T6" s="107"/>
      <c r="U6" s="107"/>
      <c r="V6" s="66" t="s">
        <v>28</v>
      </c>
      <c r="W6" s="114" t="s">
        <v>834</v>
      </c>
      <c r="X6" s="113"/>
      <c r="Y6" s="113"/>
      <c r="Z6" s="113"/>
      <c r="AA6" s="66" t="s">
        <v>28</v>
      </c>
      <c r="AB6" s="157" t="s">
        <v>835</v>
      </c>
      <c r="AC6" s="157"/>
      <c r="AD6" s="157"/>
      <c r="AE6" s="157"/>
      <c r="AF6" s="66"/>
      <c r="AG6" s="161"/>
      <c r="AH6" s="161"/>
      <c r="AI6" s="161"/>
      <c r="AJ6" s="162"/>
    </row>
    <row r="7" ht="15" customHeight="1" spans="1:36">
      <c r="A7" s="69" t="s">
        <v>33</v>
      </c>
      <c r="B7" s="70" t="s">
        <v>836</v>
      </c>
      <c r="C7" s="72"/>
      <c r="D7" s="72"/>
      <c r="E7" s="72"/>
      <c r="F7" s="65" t="s">
        <v>35</v>
      </c>
      <c r="G7" s="73" t="s">
        <v>36</v>
      </c>
      <c r="H7" s="73"/>
      <c r="I7" s="73"/>
      <c r="J7" s="73"/>
      <c r="K7" s="73"/>
      <c r="L7" s="106" t="s">
        <v>837</v>
      </c>
      <c r="M7" s="61"/>
      <c r="N7" s="61"/>
      <c r="O7" s="61"/>
      <c r="P7" s="61"/>
      <c r="Q7" s="106" t="s">
        <v>838</v>
      </c>
      <c r="R7" s="61"/>
      <c r="S7" s="61"/>
      <c r="T7" s="61"/>
      <c r="U7" s="61"/>
      <c r="V7" s="106" t="s">
        <v>839</v>
      </c>
      <c r="W7" s="61"/>
      <c r="X7" s="61"/>
      <c r="Y7" s="61"/>
      <c r="Z7" s="61"/>
      <c r="AA7" s="106" t="s">
        <v>840</v>
      </c>
      <c r="AB7" s="61"/>
      <c r="AC7" s="61"/>
      <c r="AD7" s="61"/>
      <c r="AE7" s="61"/>
      <c r="AF7" s="73" t="s">
        <v>41</v>
      </c>
      <c r="AG7" s="73"/>
      <c r="AH7" s="73"/>
      <c r="AI7" s="73"/>
      <c r="AJ7" s="120"/>
    </row>
    <row r="8" ht="48" customHeight="1" spans="1:36">
      <c r="A8" s="69"/>
      <c r="B8" s="72"/>
      <c r="C8" s="72"/>
      <c r="D8" s="72"/>
      <c r="E8" s="72"/>
      <c r="F8" s="65"/>
      <c r="G8" s="66" t="s">
        <v>11</v>
      </c>
      <c r="H8" s="74" t="s">
        <v>841</v>
      </c>
      <c r="I8" s="74"/>
      <c r="J8" s="74"/>
      <c r="K8" s="74"/>
      <c r="L8" s="66" t="s">
        <v>13</v>
      </c>
      <c r="M8" s="98">
        <v>0</v>
      </c>
      <c r="N8" s="99">
        <v>0</v>
      </c>
      <c r="O8" s="66" t="s">
        <v>14</v>
      </c>
      <c r="P8" s="100" t="s">
        <v>44</v>
      </c>
      <c r="Q8" s="66" t="s">
        <v>13</v>
      </c>
      <c r="R8" s="98">
        <v>1</v>
      </c>
      <c r="S8" s="99">
        <v>0</v>
      </c>
      <c r="T8" s="66" t="s">
        <v>14</v>
      </c>
      <c r="U8" s="100" t="s">
        <v>44</v>
      </c>
      <c r="V8" s="66" t="s">
        <v>13</v>
      </c>
      <c r="W8" s="98">
        <v>1</v>
      </c>
      <c r="X8" s="99">
        <v>0</v>
      </c>
      <c r="Y8" s="66" t="s">
        <v>14</v>
      </c>
      <c r="Z8" s="100" t="s">
        <v>45</v>
      </c>
      <c r="AA8" s="66" t="s">
        <v>13</v>
      </c>
      <c r="AB8" s="98">
        <v>0</v>
      </c>
      <c r="AC8" s="99">
        <v>1</v>
      </c>
      <c r="AD8" s="66" t="s">
        <v>14</v>
      </c>
      <c r="AE8" s="100" t="s">
        <v>44</v>
      </c>
      <c r="AF8" s="66" t="s">
        <v>16</v>
      </c>
      <c r="AG8" s="163" t="s">
        <v>842</v>
      </c>
      <c r="AH8" s="164"/>
      <c r="AI8" s="164"/>
      <c r="AJ8" s="165"/>
    </row>
    <row r="9" ht="48" customHeight="1" spans="1:36">
      <c r="A9" s="69"/>
      <c r="B9" s="72"/>
      <c r="C9" s="72"/>
      <c r="D9" s="72"/>
      <c r="E9" s="72"/>
      <c r="F9" s="65"/>
      <c r="G9" s="66" t="s">
        <v>18</v>
      </c>
      <c r="H9" s="127" t="s">
        <v>843</v>
      </c>
      <c r="I9" s="127"/>
      <c r="J9" s="127"/>
      <c r="K9" s="127"/>
      <c r="L9" s="66" t="s">
        <v>20</v>
      </c>
      <c r="M9" s="101">
        <v>1</v>
      </c>
      <c r="N9" s="102">
        <v>0</v>
      </c>
      <c r="O9" s="66" t="s">
        <v>21</v>
      </c>
      <c r="P9" s="100" t="s">
        <v>23</v>
      </c>
      <c r="Q9" s="66" t="s">
        <v>20</v>
      </c>
      <c r="R9" s="101">
        <v>1</v>
      </c>
      <c r="S9" s="102">
        <v>0</v>
      </c>
      <c r="T9" s="66" t="s">
        <v>21</v>
      </c>
      <c r="U9" s="100" t="s">
        <v>22</v>
      </c>
      <c r="V9" s="66" t="s">
        <v>20</v>
      </c>
      <c r="W9" s="101">
        <v>3</v>
      </c>
      <c r="X9" s="102">
        <v>0</v>
      </c>
      <c r="Y9" s="66" t="s">
        <v>21</v>
      </c>
      <c r="Z9" s="100" t="s">
        <v>45</v>
      </c>
      <c r="AA9" s="66" t="s">
        <v>20</v>
      </c>
      <c r="AB9" s="101">
        <v>5</v>
      </c>
      <c r="AC9" s="102">
        <v>1</v>
      </c>
      <c r="AD9" s="66" t="s">
        <v>21</v>
      </c>
      <c r="AE9" s="100" t="s">
        <v>22</v>
      </c>
      <c r="AF9" s="66" t="s">
        <v>24</v>
      </c>
      <c r="AG9" s="166" t="s">
        <v>844</v>
      </c>
      <c r="AH9" s="166"/>
      <c r="AI9" s="166"/>
      <c r="AJ9" s="167"/>
    </row>
    <row r="10" ht="70" customHeight="1" spans="1:36">
      <c r="A10" s="69" t="s">
        <v>49</v>
      </c>
      <c r="B10" s="72" t="s">
        <v>845</v>
      </c>
      <c r="C10" s="71"/>
      <c r="D10" s="71"/>
      <c r="E10" s="71"/>
      <c r="F10" s="65"/>
      <c r="G10" s="66"/>
      <c r="H10" s="127"/>
      <c r="I10" s="127"/>
      <c r="J10" s="127"/>
      <c r="K10" s="127"/>
      <c r="L10" s="66" t="s">
        <v>28</v>
      </c>
      <c r="M10" s="113" t="s">
        <v>846</v>
      </c>
      <c r="N10" s="105"/>
      <c r="O10" s="105"/>
      <c r="P10" s="105"/>
      <c r="Q10" s="66" t="s">
        <v>28</v>
      </c>
      <c r="R10" s="105" t="s">
        <v>847</v>
      </c>
      <c r="S10" s="108"/>
      <c r="T10" s="108"/>
      <c r="U10" s="108"/>
      <c r="V10" s="66" t="s">
        <v>28</v>
      </c>
      <c r="W10" s="142" t="s">
        <v>848</v>
      </c>
      <c r="X10" s="142"/>
      <c r="Y10" s="142"/>
      <c r="Z10" s="142"/>
      <c r="AA10" s="66" t="s">
        <v>28</v>
      </c>
      <c r="AB10" s="158" t="s">
        <v>849</v>
      </c>
      <c r="AC10" s="158"/>
      <c r="AD10" s="158"/>
      <c r="AE10" s="158"/>
      <c r="AF10" s="66"/>
      <c r="AG10" s="166"/>
      <c r="AH10" s="166"/>
      <c r="AI10" s="166"/>
      <c r="AJ10" s="167"/>
    </row>
    <row r="11" ht="15" customHeight="1" spans="1:36">
      <c r="A11" s="78"/>
      <c r="B11" s="78"/>
      <c r="C11" s="78"/>
      <c r="D11" s="78"/>
      <c r="E11" s="78"/>
      <c r="F11" s="65" t="s">
        <v>55</v>
      </c>
      <c r="G11" s="73" t="s">
        <v>56</v>
      </c>
      <c r="H11" s="73"/>
      <c r="I11" s="73"/>
      <c r="J11" s="73"/>
      <c r="K11" s="73"/>
      <c r="L11" s="106" t="s">
        <v>850</v>
      </c>
      <c r="M11" s="61"/>
      <c r="N11" s="61"/>
      <c r="O11" s="61"/>
      <c r="P11" s="61"/>
      <c r="Q11" s="106" t="s">
        <v>851</v>
      </c>
      <c r="R11" s="61"/>
      <c r="S11" s="61"/>
      <c r="T11" s="61"/>
      <c r="U11" s="61"/>
      <c r="V11" s="106" t="s">
        <v>852</v>
      </c>
      <c r="W11" s="61"/>
      <c r="X11" s="61"/>
      <c r="Y11" s="61"/>
      <c r="Z11" s="61"/>
      <c r="AA11" s="106" t="s">
        <v>853</v>
      </c>
      <c r="AB11" s="61"/>
      <c r="AC11" s="61"/>
      <c r="AD11" s="61"/>
      <c r="AE11" s="61"/>
      <c r="AF11" s="73" t="s">
        <v>61</v>
      </c>
      <c r="AG11" s="73"/>
      <c r="AH11" s="73"/>
      <c r="AI11" s="73"/>
      <c r="AJ11" s="120"/>
    </row>
    <row r="12" ht="48" customHeight="1" spans="1:36">
      <c r="A12" s="79" t="s">
        <v>62</v>
      </c>
      <c r="B12" s="80" t="str">
        <f>_xlfn.DISPIMG("ID_FB3A043630614760B698277D03B82734",1)</f>
        <v>=DISPIMG("ID_FB3A043630614760B698277D03B82734",1)</v>
      </c>
      <c r="C12" s="80"/>
      <c r="D12" s="80"/>
      <c r="E12" s="80"/>
      <c r="F12" s="65"/>
      <c r="G12" s="66" t="s">
        <v>11</v>
      </c>
      <c r="H12" s="74" t="s">
        <v>854</v>
      </c>
      <c r="I12" s="74"/>
      <c r="J12" s="74"/>
      <c r="K12" s="74"/>
      <c r="L12" s="66" t="s">
        <v>13</v>
      </c>
      <c r="M12" s="98">
        <v>0</v>
      </c>
      <c r="N12" s="99">
        <v>0</v>
      </c>
      <c r="O12" s="66" t="s">
        <v>14</v>
      </c>
      <c r="P12" s="100" t="s">
        <v>44</v>
      </c>
      <c r="Q12" s="66" t="s">
        <v>13</v>
      </c>
      <c r="R12" s="98">
        <v>0</v>
      </c>
      <c r="S12" s="99">
        <v>1</v>
      </c>
      <c r="T12" s="66" t="s">
        <v>14</v>
      </c>
      <c r="U12" s="100" t="s">
        <v>44</v>
      </c>
      <c r="V12" s="66" t="s">
        <v>13</v>
      </c>
      <c r="W12" s="98">
        <v>1</v>
      </c>
      <c r="X12" s="99">
        <v>0</v>
      </c>
      <c r="Y12" s="66" t="s">
        <v>14</v>
      </c>
      <c r="Z12" s="100" t="s">
        <v>44</v>
      </c>
      <c r="AA12" s="66" t="s">
        <v>13</v>
      </c>
      <c r="AB12" s="98">
        <v>1</v>
      </c>
      <c r="AC12" s="99">
        <v>0</v>
      </c>
      <c r="AD12" s="66" t="s">
        <v>14</v>
      </c>
      <c r="AE12" s="100" t="s">
        <v>45</v>
      </c>
      <c r="AF12" s="66" t="s">
        <v>16</v>
      </c>
      <c r="AG12" s="159" t="s">
        <v>855</v>
      </c>
      <c r="AH12" s="159"/>
      <c r="AI12" s="159"/>
      <c r="AJ12" s="160"/>
    </row>
    <row r="13" ht="48" customHeight="1" spans="1:36">
      <c r="A13" s="82"/>
      <c r="B13" s="80"/>
      <c r="C13" s="80"/>
      <c r="D13" s="80"/>
      <c r="E13" s="80"/>
      <c r="F13" s="65"/>
      <c r="G13" s="66" t="s">
        <v>18</v>
      </c>
      <c r="H13" s="127" t="s">
        <v>856</v>
      </c>
      <c r="I13" s="127"/>
      <c r="J13" s="127"/>
      <c r="K13" s="127"/>
      <c r="L13" s="66" t="s">
        <v>20</v>
      </c>
      <c r="M13" s="101">
        <v>3</v>
      </c>
      <c r="N13" s="102">
        <v>0</v>
      </c>
      <c r="O13" s="66" t="s">
        <v>21</v>
      </c>
      <c r="P13" s="100" t="s">
        <v>22</v>
      </c>
      <c r="Q13" s="66" t="s">
        <v>20</v>
      </c>
      <c r="R13" s="101">
        <v>3</v>
      </c>
      <c r="S13" s="102">
        <v>0</v>
      </c>
      <c r="T13" s="66" t="s">
        <v>21</v>
      </c>
      <c r="U13" s="100" t="s">
        <v>22</v>
      </c>
      <c r="V13" s="66" t="s">
        <v>20</v>
      </c>
      <c r="W13" s="101">
        <v>5</v>
      </c>
      <c r="X13" s="102">
        <v>0</v>
      </c>
      <c r="Y13" s="66" t="s">
        <v>21</v>
      </c>
      <c r="Z13" s="100" t="s">
        <v>22</v>
      </c>
      <c r="AA13" s="66" t="s">
        <v>20</v>
      </c>
      <c r="AB13" s="101">
        <v>9</v>
      </c>
      <c r="AC13" s="102">
        <v>2</v>
      </c>
      <c r="AD13" s="66" t="s">
        <v>21</v>
      </c>
      <c r="AE13" s="100" t="s">
        <v>45</v>
      </c>
      <c r="AF13" s="66" t="s">
        <v>24</v>
      </c>
      <c r="AG13" s="168" t="s">
        <v>857</v>
      </c>
      <c r="AH13" s="168"/>
      <c r="AI13" s="168"/>
      <c r="AJ13" s="169"/>
    </row>
    <row r="14" ht="70" customHeight="1" spans="1:36">
      <c r="A14" s="82"/>
      <c r="B14" s="80"/>
      <c r="C14" s="80"/>
      <c r="D14" s="80"/>
      <c r="E14" s="80"/>
      <c r="F14" s="65"/>
      <c r="G14" s="66"/>
      <c r="H14" s="127"/>
      <c r="I14" s="127"/>
      <c r="J14" s="127"/>
      <c r="K14" s="127"/>
      <c r="L14" s="66" t="s">
        <v>28</v>
      </c>
      <c r="M14" s="112" t="s">
        <v>858</v>
      </c>
      <c r="N14" s="142"/>
      <c r="O14" s="142"/>
      <c r="P14" s="142"/>
      <c r="Q14" s="66" t="s">
        <v>28</v>
      </c>
      <c r="R14" s="107" t="s">
        <v>859</v>
      </c>
      <c r="S14" s="108"/>
      <c r="T14" s="108"/>
      <c r="U14" s="108"/>
      <c r="V14" s="66" t="s">
        <v>28</v>
      </c>
      <c r="W14" s="155" t="s">
        <v>860</v>
      </c>
      <c r="X14" s="155"/>
      <c r="Y14" s="155"/>
      <c r="Z14" s="155"/>
      <c r="AA14" s="66" t="s">
        <v>28</v>
      </c>
      <c r="AB14" s="107" t="s">
        <v>861</v>
      </c>
      <c r="AC14" s="108"/>
      <c r="AD14" s="108"/>
      <c r="AE14" s="108"/>
      <c r="AF14" s="66"/>
      <c r="AG14" s="168"/>
      <c r="AH14" s="168"/>
      <c r="AI14" s="168"/>
      <c r="AJ14" s="169"/>
    </row>
    <row r="15" ht="15" customHeight="1" spans="1:36">
      <c r="A15" s="83"/>
      <c r="B15" s="83"/>
      <c r="C15" s="83"/>
      <c r="D15" s="83"/>
      <c r="E15" s="83"/>
      <c r="F15" s="65" t="s">
        <v>77</v>
      </c>
      <c r="G15" s="73" t="s">
        <v>392</v>
      </c>
      <c r="H15" s="73"/>
      <c r="I15" s="73"/>
      <c r="J15" s="73"/>
      <c r="K15" s="73"/>
      <c r="L15" s="106" t="s">
        <v>862</v>
      </c>
      <c r="M15" s="61"/>
      <c r="N15" s="61"/>
      <c r="O15" s="61"/>
      <c r="P15" s="61"/>
      <c r="Q15" s="106" t="s">
        <v>863</v>
      </c>
      <c r="R15" s="61"/>
      <c r="S15" s="61"/>
      <c r="T15" s="61"/>
      <c r="U15" s="61"/>
      <c r="V15" s="106" t="s">
        <v>864</v>
      </c>
      <c r="W15" s="61"/>
      <c r="X15" s="61"/>
      <c r="Y15" s="61"/>
      <c r="Z15" s="61"/>
      <c r="AA15" s="106" t="s">
        <v>865</v>
      </c>
      <c r="AB15" s="61"/>
      <c r="AC15" s="61"/>
      <c r="AD15" s="61"/>
      <c r="AE15" s="61"/>
      <c r="AF15" s="73"/>
      <c r="AG15" s="73"/>
      <c r="AH15" s="73"/>
      <c r="AI15" s="73"/>
      <c r="AJ15" s="120"/>
    </row>
    <row r="16" ht="48" customHeight="1" spans="1:36">
      <c r="A16" s="85" t="s">
        <v>83</v>
      </c>
      <c r="B16" s="86" t="s">
        <v>88</v>
      </c>
      <c r="C16" s="87"/>
      <c r="D16" s="87"/>
      <c r="E16" s="87"/>
      <c r="F16" s="65"/>
      <c r="G16" s="66" t="s">
        <v>11</v>
      </c>
      <c r="H16" s="74" t="s">
        <v>866</v>
      </c>
      <c r="I16" s="74"/>
      <c r="J16" s="74"/>
      <c r="K16" s="74"/>
      <c r="L16" s="66" t="s">
        <v>13</v>
      </c>
      <c r="M16" s="98">
        <v>0</v>
      </c>
      <c r="N16" s="99">
        <v>0</v>
      </c>
      <c r="O16" s="66" t="s">
        <v>14</v>
      </c>
      <c r="P16" s="100" t="s">
        <v>65</v>
      </c>
      <c r="Q16" s="66" t="s">
        <v>13</v>
      </c>
      <c r="R16" s="98">
        <v>0</v>
      </c>
      <c r="S16" s="99">
        <v>0</v>
      </c>
      <c r="T16" s="66" t="s">
        <v>14</v>
      </c>
      <c r="U16" s="100" t="s">
        <v>67</v>
      </c>
      <c r="V16" s="66" t="s">
        <v>13</v>
      </c>
      <c r="W16" s="98">
        <v>0</v>
      </c>
      <c r="X16" s="99">
        <v>1</v>
      </c>
      <c r="Y16" s="66" t="s">
        <v>14</v>
      </c>
      <c r="Z16" s="100" t="s">
        <v>161</v>
      </c>
      <c r="AA16" s="66" t="s">
        <v>13</v>
      </c>
      <c r="AB16" s="98">
        <v>1</v>
      </c>
      <c r="AC16" s="99">
        <v>1</v>
      </c>
      <c r="AD16" s="66" t="s">
        <v>14</v>
      </c>
      <c r="AE16" s="100" t="s">
        <v>44</v>
      </c>
      <c r="AF16" s="66" t="s">
        <v>16</v>
      </c>
      <c r="AG16" s="159" t="s">
        <v>867</v>
      </c>
      <c r="AH16" s="159"/>
      <c r="AI16" s="159"/>
      <c r="AJ16" s="160"/>
    </row>
    <row r="17" ht="48" customHeight="1" spans="1:36">
      <c r="A17" s="85" t="s">
        <v>87</v>
      </c>
      <c r="B17" s="86" t="s">
        <v>88</v>
      </c>
      <c r="C17" s="87"/>
      <c r="D17" s="87"/>
      <c r="E17" s="87"/>
      <c r="F17" s="65"/>
      <c r="G17" s="66" t="s">
        <v>18</v>
      </c>
      <c r="H17" s="127" t="s">
        <v>868</v>
      </c>
      <c r="I17" s="127"/>
      <c r="J17" s="127"/>
      <c r="K17" s="127"/>
      <c r="L17" s="66" t="s">
        <v>20</v>
      </c>
      <c r="M17" s="101">
        <v>0</v>
      </c>
      <c r="N17" s="102">
        <v>1</v>
      </c>
      <c r="O17" s="66" t="s">
        <v>21</v>
      </c>
      <c r="P17" s="100" t="s">
        <v>23</v>
      </c>
      <c r="Q17" s="66" t="s">
        <v>20</v>
      </c>
      <c r="R17" s="101">
        <v>3</v>
      </c>
      <c r="S17" s="102">
        <v>0</v>
      </c>
      <c r="T17" s="66" t="s">
        <v>21</v>
      </c>
      <c r="U17" s="100" t="s">
        <v>22</v>
      </c>
      <c r="V17" s="66" t="s">
        <v>20</v>
      </c>
      <c r="W17" s="101">
        <v>4</v>
      </c>
      <c r="X17" s="102">
        <v>1</v>
      </c>
      <c r="Y17" s="66" t="s">
        <v>21</v>
      </c>
      <c r="Z17" s="100" t="s">
        <v>322</v>
      </c>
      <c r="AA17" s="66" t="s">
        <v>20</v>
      </c>
      <c r="AB17" s="101">
        <v>6</v>
      </c>
      <c r="AC17" s="102">
        <v>3</v>
      </c>
      <c r="AD17" s="66" t="s">
        <v>21</v>
      </c>
      <c r="AE17" s="100" t="s">
        <v>23</v>
      </c>
      <c r="AF17" s="66" t="s">
        <v>24</v>
      </c>
      <c r="AG17" s="170" t="s">
        <v>869</v>
      </c>
      <c r="AH17" s="170"/>
      <c r="AI17" s="170"/>
      <c r="AJ17" s="171"/>
    </row>
    <row r="18" ht="87" customHeight="1" spans="1:36">
      <c r="A18" s="90" t="s">
        <v>92</v>
      </c>
      <c r="B18" s="91" t="s">
        <v>870</v>
      </c>
      <c r="C18" s="92"/>
      <c r="D18" s="92"/>
      <c r="E18" s="92"/>
      <c r="F18" s="93"/>
      <c r="G18" s="94"/>
      <c r="H18" s="128"/>
      <c r="I18" s="128"/>
      <c r="J18" s="128"/>
      <c r="K18" s="128"/>
      <c r="L18" s="66" t="s">
        <v>28</v>
      </c>
      <c r="M18" s="107" t="s">
        <v>871</v>
      </c>
      <c r="N18" s="108"/>
      <c r="O18" s="108"/>
      <c r="P18" s="108"/>
      <c r="Q18" s="66" t="s">
        <v>28</v>
      </c>
      <c r="R18" s="156" t="s">
        <v>872</v>
      </c>
      <c r="S18" s="113"/>
      <c r="T18" s="113"/>
      <c r="U18" s="113"/>
      <c r="V18" s="66" t="s">
        <v>28</v>
      </c>
      <c r="W18" s="107" t="s">
        <v>873</v>
      </c>
      <c r="X18" s="108"/>
      <c r="Y18" s="108"/>
      <c r="Z18" s="108"/>
      <c r="AA18" s="66" t="s">
        <v>28</v>
      </c>
      <c r="AB18" s="105" t="s">
        <v>874</v>
      </c>
      <c r="AC18" s="105"/>
      <c r="AD18" s="105"/>
      <c r="AE18" s="105"/>
      <c r="AF18" s="94"/>
      <c r="AG18" s="172"/>
      <c r="AH18" s="172"/>
      <c r="AI18" s="172"/>
      <c r="AJ18" s="173"/>
    </row>
    <row r="19" ht="17.25" spans="6:12">
      <c r="F19" s="129" t="s">
        <v>875</v>
      </c>
      <c r="G19" s="130"/>
      <c r="H19" s="131" t="s">
        <v>219</v>
      </c>
      <c r="I19" s="143" t="s">
        <v>220</v>
      </c>
      <c r="J19" s="143"/>
      <c r="K19" s="143"/>
      <c r="L19" s="144"/>
    </row>
    <row r="20" spans="6:12">
      <c r="F20" s="132" t="str">
        <f>_xlfn.DISPIMG("ID_44592E6BD30A44C79E6FE4556A882D03",1)</f>
        <v>=DISPIMG("ID_44592E6BD30A44C79E6FE4556A882D03",1)</v>
      </c>
      <c r="G20" s="133"/>
      <c r="H20" s="134" t="s">
        <v>341</v>
      </c>
      <c r="I20" s="145" t="s">
        <v>713</v>
      </c>
      <c r="J20" s="145"/>
      <c r="K20" s="146" t="str">
        <f>_xlfn.DISPIMG("ID_8D1D66EF3C8E4C4DA2C499BD98760604",1)</f>
        <v>=DISPIMG("ID_8D1D66EF3C8E4C4DA2C499BD98760604",1)</v>
      </c>
      <c r="L20" s="147"/>
    </row>
    <row r="21" spans="6:12">
      <c r="F21" s="132"/>
      <c r="G21" s="133"/>
      <c r="H21" s="134" t="s">
        <v>342</v>
      </c>
      <c r="I21" s="145" t="s">
        <v>713</v>
      </c>
      <c r="J21" s="145"/>
      <c r="K21" s="148"/>
      <c r="L21" s="149"/>
    </row>
    <row r="22" spans="6:12">
      <c r="F22" s="132"/>
      <c r="G22" s="133"/>
      <c r="H22" s="134" t="s">
        <v>343</v>
      </c>
      <c r="I22" s="145" t="s">
        <v>713</v>
      </c>
      <c r="J22" s="145"/>
      <c r="K22" s="150"/>
      <c r="L22" s="151"/>
    </row>
    <row r="23" spans="6:12">
      <c r="F23" s="135" t="s">
        <v>224</v>
      </c>
      <c r="G23" s="136"/>
      <c r="H23" s="137" t="s">
        <v>876</v>
      </c>
      <c r="I23" s="152"/>
      <c r="J23" s="152"/>
      <c r="K23" s="152"/>
      <c r="L23" s="153"/>
    </row>
    <row r="24" ht="38" customHeight="1" spans="6:12">
      <c r="F24" s="138"/>
      <c r="G24" s="139"/>
      <c r="H24" s="140"/>
      <c r="I24" s="140"/>
      <c r="J24" s="140"/>
      <c r="K24" s="140"/>
      <c r="L24" s="154"/>
    </row>
    <row r="47" spans="18:18">
      <c r="R47"/>
    </row>
  </sheetData>
  <sheetProtection selectLockedCells="1" formatCells="0" formatColumns="0" formatRows="0" insertRows="0" insertColumns="0" insertHyperlinks="0" deleteColumns="0" deleteRows="0" sort="0" autoFilter="0" pivotTables="0"/>
  <mergeCells count="92">
    <mergeCell ref="B1:C1"/>
    <mergeCell ref="D1:E1"/>
    <mergeCell ref="G1:K1"/>
    <mergeCell ref="L1:P1"/>
    <mergeCell ref="Q1:U1"/>
    <mergeCell ref="V1:Z1"/>
    <mergeCell ref="AA1:AE1"/>
    <mergeCell ref="G3:K3"/>
    <mergeCell ref="L3:P3"/>
    <mergeCell ref="Q3:U3"/>
    <mergeCell ref="V3:Z3"/>
    <mergeCell ref="AA3:AE3"/>
    <mergeCell ref="AF3:AJ3"/>
    <mergeCell ref="H4:K4"/>
    <mergeCell ref="AG4:AJ4"/>
    <mergeCell ref="B6:E6"/>
    <mergeCell ref="M6:P6"/>
    <mergeCell ref="R6:U6"/>
    <mergeCell ref="W6:Z6"/>
    <mergeCell ref="AB6:AE6"/>
    <mergeCell ref="G7:K7"/>
    <mergeCell ref="L7:P7"/>
    <mergeCell ref="Q7:U7"/>
    <mergeCell ref="V7:Z7"/>
    <mergeCell ref="AA7:AE7"/>
    <mergeCell ref="AF7:AJ7"/>
    <mergeCell ref="H8:K8"/>
    <mergeCell ref="AG8:AJ8"/>
    <mergeCell ref="B10:E10"/>
    <mergeCell ref="M10:P10"/>
    <mergeCell ref="R10:U10"/>
    <mergeCell ref="W10:Z10"/>
    <mergeCell ref="AB10:AE10"/>
    <mergeCell ref="G11:K11"/>
    <mergeCell ref="L11:P11"/>
    <mergeCell ref="Q11:U11"/>
    <mergeCell ref="V11:Z11"/>
    <mergeCell ref="AA11:AE11"/>
    <mergeCell ref="AF11:AJ11"/>
    <mergeCell ref="H12:K12"/>
    <mergeCell ref="AG12:AJ12"/>
    <mergeCell ref="M14:P14"/>
    <mergeCell ref="R14:U14"/>
    <mergeCell ref="W14:Z14"/>
    <mergeCell ref="AB14:AE14"/>
    <mergeCell ref="G15:K15"/>
    <mergeCell ref="L15:P15"/>
    <mergeCell ref="Q15:U15"/>
    <mergeCell ref="V15:Z15"/>
    <mergeCell ref="AA15:AE15"/>
    <mergeCell ref="AF15:AJ15"/>
    <mergeCell ref="B16:E16"/>
    <mergeCell ref="H16:K16"/>
    <mergeCell ref="AG16:AJ16"/>
    <mergeCell ref="B17:E17"/>
    <mergeCell ref="B18:E18"/>
    <mergeCell ref="M18:P18"/>
    <mergeCell ref="R18:U18"/>
    <mergeCell ref="W18:Z18"/>
    <mergeCell ref="AB18:AE18"/>
    <mergeCell ref="F19:G19"/>
    <mergeCell ref="I19:L19"/>
    <mergeCell ref="A7:A9"/>
    <mergeCell ref="A12:A14"/>
    <mergeCell ref="F3:F6"/>
    <mergeCell ref="F7:F10"/>
    <mergeCell ref="F11:F14"/>
    <mergeCell ref="F15:F18"/>
    <mergeCell ref="G5:G6"/>
    <mergeCell ref="G9:G10"/>
    <mergeCell ref="G13:G14"/>
    <mergeCell ref="G17:G18"/>
    <mergeCell ref="AF5:AF6"/>
    <mergeCell ref="AF9:AF10"/>
    <mergeCell ref="AF13:AF14"/>
    <mergeCell ref="AF17:AF18"/>
    <mergeCell ref="A4:B5"/>
    <mergeCell ref="C4:E5"/>
    <mergeCell ref="B7:E9"/>
    <mergeCell ref="B12:E14"/>
    <mergeCell ref="H5:K6"/>
    <mergeCell ref="AG5:AJ6"/>
    <mergeCell ref="H9:K10"/>
    <mergeCell ref="AG9:AJ10"/>
    <mergeCell ref="H13:K14"/>
    <mergeCell ref="AG13:AJ14"/>
    <mergeCell ref="H17:K18"/>
    <mergeCell ref="AG17:AJ18"/>
    <mergeCell ref="F20:G22"/>
    <mergeCell ref="K20:L22"/>
    <mergeCell ref="F23:G24"/>
    <mergeCell ref="H23:L24"/>
  </mergeCells>
  <conditionalFormatting sqref="M4">
    <cfRule type="cellIs" dxfId="0" priority="46" operator="equal">
      <formula>0</formula>
    </cfRule>
  </conditionalFormatting>
  <conditionalFormatting sqref="N4">
    <cfRule type="cellIs" dxfId="0" priority="47" operator="equal">
      <formula>0</formula>
    </cfRule>
  </conditionalFormatting>
  <conditionalFormatting sqref="R4">
    <cfRule type="cellIs" dxfId="0" priority="43" operator="equal">
      <formula>0</formula>
    </cfRule>
  </conditionalFormatting>
  <conditionalFormatting sqref="S4">
    <cfRule type="cellIs" dxfId="0" priority="44" operator="equal">
      <formula>0</formula>
    </cfRule>
  </conditionalFormatting>
  <conditionalFormatting sqref="W4">
    <cfRule type="cellIs" dxfId="0" priority="40" operator="equal">
      <formula>0</formula>
    </cfRule>
  </conditionalFormatting>
  <conditionalFormatting sqref="X4">
    <cfRule type="cellIs" dxfId="0" priority="41" operator="equal">
      <formula>0</formula>
    </cfRule>
  </conditionalFormatting>
  <conditionalFormatting sqref="AB4">
    <cfRule type="cellIs" dxfId="0" priority="37" operator="equal">
      <formula>0</formula>
    </cfRule>
  </conditionalFormatting>
  <conditionalFormatting sqref="AC4">
    <cfRule type="cellIs" dxfId="0" priority="38" operator="equal">
      <formula>0</formula>
    </cfRule>
  </conditionalFormatting>
  <conditionalFormatting sqref="M8">
    <cfRule type="cellIs" dxfId="0" priority="34" operator="equal">
      <formula>0</formula>
    </cfRule>
  </conditionalFormatting>
  <conditionalFormatting sqref="N8">
    <cfRule type="cellIs" dxfId="0" priority="35" operator="equal">
      <formula>0</formula>
    </cfRule>
  </conditionalFormatting>
  <conditionalFormatting sqref="R8">
    <cfRule type="cellIs" dxfId="0" priority="25" operator="equal">
      <formula>0</formula>
    </cfRule>
  </conditionalFormatting>
  <conditionalFormatting sqref="S8">
    <cfRule type="cellIs" dxfId="0" priority="26" operator="equal">
      <formula>0</formula>
    </cfRule>
  </conditionalFormatting>
  <conditionalFormatting sqref="W8">
    <cfRule type="cellIs" dxfId="0" priority="22" operator="equal">
      <formula>0</formula>
    </cfRule>
  </conditionalFormatting>
  <conditionalFormatting sqref="X8">
    <cfRule type="cellIs" dxfId="0" priority="23" operator="equal">
      <formula>0</formula>
    </cfRule>
  </conditionalFormatting>
  <conditionalFormatting sqref="AB8">
    <cfRule type="cellIs" dxfId="0" priority="4" operator="equal">
      <formula>0</formula>
    </cfRule>
  </conditionalFormatting>
  <conditionalFormatting sqref="AC8">
    <cfRule type="cellIs" dxfId="0" priority="5" operator="equal">
      <formula>0</formula>
    </cfRule>
  </conditionalFormatting>
  <conditionalFormatting sqref="M12">
    <cfRule type="cellIs" dxfId="0" priority="31" operator="equal">
      <formula>0</formula>
    </cfRule>
  </conditionalFormatting>
  <conditionalFormatting sqref="N12">
    <cfRule type="cellIs" dxfId="0" priority="32" operator="equal">
      <formula>0</formula>
    </cfRule>
  </conditionalFormatting>
  <conditionalFormatting sqref="R12">
    <cfRule type="cellIs" dxfId="0" priority="28" operator="equal">
      <formula>0</formula>
    </cfRule>
  </conditionalFormatting>
  <conditionalFormatting sqref="S12">
    <cfRule type="cellIs" dxfId="0" priority="29" operator="equal">
      <formula>0</formula>
    </cfRule>
  </conditionalFormatting>
  <conditionalFormatting sqref="W12">
    <cfRule type="cellIs" dxfId="0" priority="19" operator="equal">
      <formula>0</formula>
    </cfRule>
  </conditionalFormatting>
  <conditionalFormatting sqref="X12">
    <cfRule type="cellIs" dxfId="0" priority="20" operator="equal">
      <formula>0</formula>
    </cfRule>
  </conditionalFormatting>
  <conditionalFormatting sqref="AB12">
    <cfRule type="cellIs" dxfId="0" priority="10" operator="equal">
      <formula>0</formula>
    </cfRule>
  </conditionalFormatting>
  <conditionalFormatting sqref="AC12">
    <cfRule type="cellIs" dxfId="0" priority="11" operator="equal">
      <formula>0</formula>
    </cfRule>
  </conditionalFormatting>
  <conditionalFormatting sqref="M16">
    <cfRule type="cellIs" dxfId="0" priority="1" operator="equal">
      <formula>0</formula>
    </cfRule>
  </conditionalFormatting>
  <conditionalFormatting sqref="N16">
    <cfRule type="cellIs" dxfId="0" priority="2" operator="equal">
      <formula>0</formula>
    </cfRule>
  </conditionalFormatting>
  <conditionalFormatting sqref="R16">
    <cfRule type="cellIs" dxfId="0" priority="16" operator="equal">
      <formula>0</formula>
    </cfRule>
  </conditionalFormatting>
  <conditionalFormatting sqref="S16">
    <cfRule type="cellIs" dxfId="0" priority="17" operator="equal">
      <formula>0</formula>
    </cfRule>
  </conditionalFormatting>
  <conditionalFormatting sqref="W16">
    <cfRule type="cellIs" dxfId="0" priority="13" operator="equal">
      <formula>0</formula>
    </cfRule>
  </conditionalFormatting>
  <conditionalFormatting sqref="X16">
    <cfRule type="cellIs" dxfId="0" priority="14" operator="equal">
      <formula>0</formula>
    </cfRule>
  </conditionalFormatting>
  <conditionalFormatting sqref="AB16">
    <cfRule type="cellIs" dxfId="0" priority="7" operator="equal">
      <formula>0</formula>
    </cfRule>
  </conditionalFormatting>
  <conditionalFormatting sqref="AC16">
    <cfRule type="cellIs" dxfId="0" priority="8" operator="equal">
      <formula>0</formula>
    </cfRule>
  </conditionalFormatting>
  <conditionalFormatting sqref="M4:N5">
    <cfRule type="cellIs" dxfId="1" priority="48" operator="equal">
      <formula>0</formula>
    </cfRule>
  </conditionalFormatting>
  <conditionalFormatting sqref="R4:S5">
    <cfRule type="cellIs" dxfId="1" priority="45" operator="equal">
      <formula>0</formula>
    </cfRule>
  </conditionalFormatting>
  <conditionalFormatting sqref="W4:X5">
    <cfRule type="cellIs" dxfId="1" priority="42" operator="equal">
      <formula>0</formula>
    </cfRule>
  </conditionalFormatting>
  <conditionalFormatting sqref="AB4:AC5">
    <cfRule type="cellIs" dxfId="1" priority="39" operator="equal">
      <formula>0</formula>
    </cfRule>
  </conditionalFormatting>
  <conditionalFormatting sqref="M8:N9">
    <cfRule type="cellIs" dxfId="1" priority="36" operator="equal">
      <formula>0</formula>
    </cfRule>
  </conditionalFormatting>
  <conditionalFormatting sqref="R8:S9">
    <cfRule type="cellIs" dxfId="1" priority="27" operator="equal">
      <formula>0</formula>
    </cfRule>
  </conditionalFormatting>
  <conditionalFormatting sqref="W8:X9">
    <cfRule type="cellIs" dxfId="1" priority="24" operator="equal">
      <formula>0</formula>
    </cfRule>
  </conditionalFormatting>
  <conditionalFormatting sqref="AB8:AC9">
    <cfRule type="cellIs" dxfId="1" priority="6" operator="equal">
      <formula>0</formula>
    </cfRule>
  </conditionalFormatting>
  <conditionalFormatting sqref="M12:N13">
    <cfRule type="cellIs" dxfId="1" priority="33" operator="equal">
      <formula>0</formula>
    </cfRule>
  </conditionalFormatting>
  <conditionalFormatting sqref="R12:S13">
    <cfRule type="cellIs" dxfId="1" priority="30" operator="equal">
      <formula>0</formula>
    </cfRule>
  </conditionalFormatting>
  <conditionalFormatting sqref="W12:X13">
    <cfRule type="cellIs" dxfId="1" priority="21" operator="equal">
      <formula>0</formula>
    </cfRule>
  </conditionalFormatting>
  <conditionalFormatting sqref="AB12:AC13">
    <cfRule type="cellIs" dxfId="1" priority="12" operator="equal">
      <formula>0</formula>
    </cfRule>
  </conditionalFormatting>
  <conditionalFormatting sqref="M16:N17">
    <cfRule type="cellIs" dxfId="1" priority="3" operator="equal">
      <formula>0</formula>
    </cfRule>
  </conditionalFormatting>
  <conditionalFormatting sqref="R16:S17">
    <cfRule type="cellIs" dxfId="1" priority="18" operator="equal">
      <formula>0</formula>
    </cfRule>
  </conditionalFormatting>
  <conditionalFormatting sqref="W16:X17">
    <cfRule type="cellIs" dxfId="1" priority="15" operator="equal">
      <formula>0</formula>
    </cfRule>
  </conditionalFormatting>
  <conditionalFormatting sqref="AB16:AC17">
    <cfRule type="cellIs" dxfId="1" priority="9" operator="equal">
      <formula>0</formula>
    </cfRule>
  </conditionalFormatting>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tint="0.35"/>
  </sheetPr>
  <dimension ref="A1:AJ47"/>
  <sheetViews>
    <sheetView showGridLines="0" zoomScale="115" zoomScaleNormal="115" topLeftCell="M3" workbookViewId="0">
      <selection activeCell="AP27" sqref="AP27"/>
    </sheetView>
  </sheetViews>
  <sheetFormatPr defaultColWidth="8.89090909090909" defaultRowHeight="16.5"/>
  <cols>
    <col min="1" max="1" width="9.14545454545454" style="1" customWidth="1"/>
    <col min="2" max="4" width="8.89090909090909" style="1"/>
    <col min="5" max="5" width="9.83636363636364" style="1" customWidth="1"/>
    <col min="6" max="6" width="4.34545454545455" style="1" customWidth="1"/>
    <col min="7" max="7" width="5.71818181818182" style="1" customWidth="1"/>
    <col min="8" max="8" width="8.89090909090909" style="1"/>
    <col min="9" max="9" width="9.83636363636364" style="1" customWidth="1"/>
    <col min="10" max="10" width="6.97272727272727" style="1" customWidth="1"/>
    <col min="11" max="11" width="8.89090909090909" style="1"/>
    <col min="12" max="12" width="5.77272727272727" style="1" customWidth="1"/>
    <col min="13" max="14" width="8.77272727272727" style="1" customWidth="1"/>
    <col min="15" max="15" width="5.77272727272727" style="1" customWidth="1"/>
    <col min="16" max="16" width="16.8272727272727" style="1" customWidth="1"/>
    <col min="17" max="17" width="5.77272727272727" style="1" customWidth="1"/>
    <col min="18" max="19" width="8.77272727272727" style="1" customWidth="1"/>
    <col min="20" max="20" width="5.77272727272727" style="1" customWidth="1"/>
    <col min="21" max="21" width="14.7727272727273" style="1" customWidth="1"/>
    <col min="22" max="22" width="5.77272727272727" style="1" customWidth="1"/>
    <col min="23" max="24" width="8.77272727272727" style="1" customWidth="1"/>
    <col min="25" max="25" width="5.77272727272727" style="1" customWidth="1"/>
    <col min="26" max="26" width="14.7727272727273" style="1" customWidth="1"/>
    <col min="27" max="27" width="5.77272727272727" style="1" customWidth="1"/>
    <col min="28" max="29" width="8.77272727272727" style="1" customWidth="1"/>
    <col min="30" max="30" width="5.77272727272727" style="1" customWidth="1"/>
    <col min="31" max="31" width="14.7727272727273" style="1" customWidth="1"/>
    <col min="32" max="32" width="5.71818181818182" style="1" customWidth="1"/>
    <col min="33" max="16384" width="8.89090909090909" style="1"/>
  </cols>
  <sheetData>
    <row r="1" ht="61" customHeight="1" spans="1:31">
      <c r="A1" s="53" t="str">
        <f>_xlfn.DISPIMG("ID_D6F4F8F55CDD486DBA32920D72CC8142",1)</f>
        <v>=DISPIMG("ID_D6F4F8F55CDD486DBA32920D72CC8142",1)</v>
      </c>
      <c r="B1" s="54" t="s">
        <v>877</v>
      </c>
      <c r="C1" s="54"/>
      <c r="D1" s="55" t="s">
        <v>1</v>
      </c>
      <c r="E1" s="56"/>
      <c r="F1" s="5"/>
      <c r="H1" s="57" t="s">
        <v>878</v>
      </c>
      <c r="I1" s="57"/>
      <c r="J1" s="57"/>
      <c r="K1" s="57"/>
      <c r="L1" s="57"/>
      <c r="M1" s="57"/>
      <c r="N1" s="57"/>
      <c r="O1" s="57"/>
      <c r="P1" s="96"/>
      <c r="Q1" s="109"/>
      <c r="R1" s="5"/>
      <c r="S1" s="5"/>
      <c r="T1" s="5"/>
      <c r="U1" s="5"/>
      <c r="V1" s="109"/>
      <c r="W1" s="5"/>
      <c r="X1" s="5"/>
      <c r="Y1" s="5"/>
      <c r="Z1" s="5"/>
      <c r="AA1" s="109"/>
      <c r="AB1" s="5"/>
      <c r="AC1" s="5"/>
      <c r="AD1" s="5"/>
      <c r="AE1" s="5"/>
    </row>
    <row r="2" ht="12" customHeight="1" spans="1:31">
      <c r="A2" s="58"/>
      <c r="B2" s="58"/>
      <c r="C2" s="58"/>
      <c r="D2" s="58"/>
      <c r="E2" s="58"/>
      <c r="F2" s="59"/>
      <c r="L2" s="97"/>
      <c r="M2" s="59"/>
      <c r="N2" s="59"/>
      <c r="O2" s="59"/>
      <c r="P2" s="59"/>
      <c r="Q2" s="97"/>
      <c r="R2" s="59"/>
      <c r="S2" s="59"/>
      <c r="T2" s="59"/>
      <c r="U2" s="59"/>
      <c r="V2" s="97"/>
      <c r="W2" s="59"/>
      <c r="X2" s="59"/>
      <c r="Y2" s="59"/>
      <c r="Z2" s="59"/>
      <c r="AA2" s="97"/>
      <c r="AB2" s="59"/>
      <c r="AC2" s="59"/>
      <c r="AD2" s="59"/>
      <c r="AE2" s="59"/>
    </row>
    <row r="3" ht="15" customHeight="1" spans="1:36">
      <c r="A3" s="58"/>
      <c r="B3" s="58"/>
      <c r="C3" s="58"/>
      <c r="D3" s="58"/>
      <c r="E3" s="58"/>
      <c r="F3" s="60" t="s">
        <v>3</v>
      </c>
      <c r="G3" s="61" t="s">
        <v>4</v>
      </c>
      <c r="H3" s="61"/>
      <c r="I3" s="61"/>
      <c r="J3" s="61"/>
      <c r="K3" s="61"/>
      <c r="L3" s="61" t="s">
        <v>879</v>
      </c>
      <c r="M3" s="61"/>
      <c r="N3" s="61"/>
      <c r="O3" s="61"/>
      <c r="P3" s="61"/>
      <c r="Q3" s="106" t="s">
        <v>880</v>
      </c>
      <c r="R3" s="61"/>
      <c r="S3" s="61"/>
      <c r="T3" s="61"/>
      <c r="U3" s="61"/>
      <c r="V3" s="61" t="s">
        <v>881</v>
      </c>
      <c r="W3" s="61"/>
      <c r="X3" s="61"/>
      <c r="Y3" s="61"/>
      <c r="Z3" s="61"/>
      <c r="AA3" s="106" t="s">
        <v>882</v>
      </c>
      <c r="AB3" s="61"/>
      <c r="AC3" s="61"/>
      <c r="AD3" s="61"/>
      <c r="AE3" s="61"/>
      <c r="AF3" s="61" t="s">
        <v>9</v>
      </c>
      <c r="AG3" s="61"/>
      <c r="AH3" s="61"/>
      <c r="AI3" s="61"/>
      <c r="AJ3" s="115"/>
    </row>
    <row r="4" ht="48" customHeight="1" spans="1:36">
      <c r="A4" s="62" t="str">
        <f>_xlfn.DISPIMG("ID_48F41A9A0A794D55AFE46827982439E5",1)</f>
        <v>=DISPIMG("ID_48F41A9A0A794D55AFE46827982439E5",1)</v>
      </c>
      <c r="B4" s="62"/>
      <c r="C4" s="63" t="s">
        <v>883</v>
      </c>
      <c r="D4" s="64"/>
      <c r="E4" s="64"/>
      <c r="F4" s="65"/>
      <c r="G4" s="66" t="s">
        <v>11</v>
      </c>
      <c r="H4" s="67" t="s">
        <v>884</v>
      </c>
      <c r="I4" s="67"/>
      <c r="J4" s="67"/>
      <c r="K4" s="67"/>
      <c r="L4" s="66" t="s">
        <v>13</v>
      </c>
      <c r="M4" s="98">
        <v>1</v>
      </c>
      <c r="N4" s="99">
        <v>0</v>
      </c>
      <c r="O4" s="66" t="s">
        <v>14</v>
      </c>
      <c r="P4" s="100" t="s">
        <v>44</v>
      </c>
      <c r="Q4" s="66" t="s">
        <v>13</v>
      </c>
      <c r="R4" s="98">
        <v>0</v>
      </c>
      <c r="S4" s="99">
        <v>0</v>
      </c>
      <c r="T4" s="66" t="s">
        <v>14</v>
      </c>
      <c r="U4" s="100" t="s">
        <v>44</v>
      </c>
      <c r="V4" s="66" t="s">
        <v>13</v>
      </c>
      <c r="W4" s="98">
        <v>1</v>
      </c>
      <c r="X4" s="99">
        <v>0</v>
      </c>
      <c r="Y4" s="66" t="s">
        <v>14</v>
      </c>
      <c r="Z4" s="100" t="s">
        <v>45</v>
      </c>
      <c r="AA4" s="66" t="s">
        <v>13</v>
      </c>
      <c r="AB4" s="98">
        <v>0</v>
      </c>
      <c r="AC4" s="99">
        <v>1</v>
      </c>
      <c r="AD4" s="66" t="s">
        <v>14</v>
      </c>
      <c r="AE4" s="100" t="s">
        <v>161</v>
      </c>
      <c r="AF4" s="66" t="s">
        <v>16</v>
      </c>
      <c r="AG4" s="116" t="s">
        <v>885</v>
      </c>
      <c r="AH4" s="117"/>
      <c r="AI4" s="117"/>
      <c r="AJ4" s="117"/>
    </row>
    <row r="5" ht="48" customHeight="1" spans="1:36">
      <c r="A5" s="62"/>
      <c r="B5" s="62"/>
      <c r="C5" s="64"/>
      <c r="D5" s="64"/>
      <c r="E5" s="64"/>
      <c r="F5" s="65"/>
      <c r="G5" s="66" t="s">
        <v>18</v>
      </c>
      <c r="H5" s="68" t="s">
        <v>886</v>
      </c>
      <c r="I5" s="68"/>
      <c r="J5" s="68"/>
      <c r="K5" s="68"/>
      <c r="L5" s="66" t="s">
        <v>20</v>
      </c>
      <c r="M5" s="101">
        <v>6</v>
      </c>
      <c r="N5" s="102">
        <v>0</v>
      </c>
      <c r="O5" s="66" t="s">
        <v>21</v>
      </c>
      <c r="P5" s="100" t="s">
        <v>22</v>
      </c>
      <c r="Q5" s="66" t="s">
        <v>20</v>
      </c>
      <c r="R5" s="101">
        <v>1</v>
      </c>
      <c r="S5" s="102">
        <v>0</v>
      </c>
      <c r="T5" s="66" t="s">
        <v>21</v>
      </c>
      <c r="U5" s="100" t="s">
        <v>22</v>
      </c>
      <c r="V5" s="66" t="s">
        <v>20</v>
      </c>
      <c r="W5" s="101">
        <v>0</v>
      </c>
      <c r="X5" s="102">
        <v>0</v>
      </c>
      <c r="Y5" s="66" t="s">
        <v>21</v>
      </c>
      <c r="Z5" s="100" t="s">
        <v>45</v>
      </c>
      <c r="AA5" s="66" t="s">
        <v>20</v>
      </c>
      <c r="AB5" s="101">
        <v>3</v>
      </c>
      <c r="AC5" s="102">
        <v>1</v>
      </c>
      <c r="AD5" s="66" t="s">
        <v>21</v>
      </c>
      <c r="AE5" s="100" t="s">
        <v>22</v>
      </c>
      <c r="AF5" s="66" t="s">
        <v>24</v>
      </c>
      <c r="AG5" s="118" t="s">
        <v>887</v>
      </c>
      <c r="AH5" s="119"/>
      <c r="AI5" s="119"/>
      <c r="AJ5" s="119"/>
    </row>
    <row r="6" ht="70" customHeight="1" spans="1:36">
      <c r="A6" s="69" t="s">
        <v>26</v>
      </c>
      <c r="B6" s="70" t="s">
        <v>888</v>
      </c>
      <c r="C6" s="71"/>
      <c r="D6" s="71"/>
      <c r="E6" s="71"/>
      <c r="F6" s="65"/>
      <c r="G6" s="66"/>
      <c r="H6" s="68"/>
      <c r="I6" s="68"/>
      <c r="J6" s="68"/>
      <c r="K6" s="68"/>
      <c r="L6" s="66" t="s">
        <v>28</v>
      </c>
      <c r="M6" s="103" t="s">
        <v>889</v>
      </c>
      <c r="N6" s="104"/>
      <c r="O6" s="104"/>
      <c r="P6" s="104"/>
      <c r="Q6" s="66" t="s">
        <v>28</v>
      </c>
      <c r="R6" s="110" t="s">
        <v>890</v>
      </c>
      <c r="S6" s="110"/>
      <c r="T6" s="110"/>
      <c r="U6" s="110"/>
      <c r="V6" s="66" t="s">
        <v>28</v>
      </c>
      <c r="W6" s="107" t="s">
        <v>891</v>
      </c>
      <c r="X6" s="107"/>
      <c r="Y6" s="107"/>
      <c r="Z6" s="107"/>
      <c r="AA6" s="66" t="s">
        <v>28</v>
      </c>
      <c r="AB6" s="111" t="s">
        <v>892</v>
      </c>
      <c r="AC6" s="112"/>
      <c r="AD6" s="112"/>
      <c r="AE6" s="112"/>
      <c r="AF6" s="66"/>
      <c r="AG6" s="119"/>
      <c r="AH6" s="119"/>
      <c r="AI6" s="119"/>
      <c r="AJ6" s="119"/>
    </row>
    <row r="7" ht="15" customHeight="1" spans="1:36">
      <c r="A7" s="69" t="s">
        <v>33</v>
      </c>
      <c r="B7" s="70" t="s">
        <v>893</v>
      </c>
      <c r="C7" s="72"/>
      <c r="D7" s="72"/>
      <c r="E7" s="72"/>
      <c r="F7" s="65" t="s">
        <v>35</v>
      </c>
      <c r="G7" s="73" t="s">
        <v>36</v>
      </c>
      <c r="H7" s="73"/>
      <c r="I7" s="73"/>
      <c r="J7" s="73"/>
      <c r="K7" s="73"/>
      <c r="L7" s="61" t="s">
        <v>894</v>
      </c>
      <c r="M7" s="61"/>
      <c r="N7" s="61"/>
      <c r="O7" s="61"/>
      <c r="P7" s="61"/>
      <c r="Q7" s="61" t="s">
        <v>895</v>
      </c>
      <c r="R7" s="61"/>
      <c r="S7" s="61"/>
      <c r="T7" s="61"/>
      <c r="U7" s="61"/>
      <c r="V7" s="106" t="s">
        <v>896</v>
      </c>
      <c r="W7" s="61"/>
      <c r="X7" s="61"/>
      <c r="Y7" s="61"/>
      <c r="Z7" s="61"/>
      <c r="AA7" s="61" t="s">
        <v>897</v>
      </c>
      <c r="AB7" s="61"/>
      <c r="AC7" s="61"/>
      <c r="AD7" s="61"/>
      <c r="AE7" s="61"/>
      <c r="AF7" s="73" t="s">
        <v>41</v>
      </c>
      <c r="AG7" s="73"/>
      <c r="AH7" s="73"/>
      <c r="AI7" s="73"/>
      <c r="AJ7" s="120"/>
    </row>
    <row r="8" ht="48" customHeight="1" spans="1:36">
      <c r="A8" s="69"/>
      <c r="B8" s="72"/>
      <c r="C8" s="72"/>
      <c r="D8" s="72"/>
      <c r="E8" s="72"/>
      <c r="F8" s="65"/>
      <c r="G8" s="66" t="s">
        <v>11</v>
      </c>
      <c r="H8" s="74" t="s">
        <v>898</v>
      </c>
      <c r="I8" s="74"/>
      <c r="J8" s="74"/>
      <c r="K8" s="74"/>
      <c r="L8" s="66" t="s">
        <v>13</v>
      </c>
      <c r="M8" s="98">
        <v>0</v>
      </c>
      <c r="N8" s="99">
        <v>1</v>
      </c>
      <c r="O8" s="66" t="s">
        <v>14</v>
      </c>
      <c r="P8" s="100" t="s">
        <v>45</v>
      </c>
      <c r="Q8" s="66" t="s">
        <v>13</v>
      </c>
      <c r="R8" s="98">
        <v>0</v>
      </c>
      <c r="S8" s="99">
        <v>1</v>
      </c>
      <c r="T8" s="66" t="s">
        <v>14</v>
      </c>
      <c r="U8" s="100" t="str">
        <f>_xlfn.DISPIMG("ID_C5283FB0E1ED495784C9187B888A42D9",1)</f>
        <v>=DISPIMG("ID_C5283FB0E1ED495784C9187B888A42D9",1)</v>
      </c>
      <c r="V8" s="66" t="s">
        <v>13</v>
      </c>
      <c r="W8" s="98">
        <v>0</v>
      </c>
      <c r="X8" s="99">
        <v>1</v>
      </c>
      <c r="Y8" s="66" t="s">
        <v>14</v>
      </c>
      <c r="Z8" s="100" t="s">
        <v>45</v>
      </c>
      <c r="AA8" s="66" t="s">
        <v>13</v>
      </c>
      <c r="AB8" s="98">
        <v>0</v>
      </c>
      <c r="AC8" s="99">
        <v>1</v>
      </c>
      <c r="AD8" s="66" t="s">
        <v>14</v>
      </c>
      <c r="AE8" s="100" t="s">
        <v>45</v>
      </c>
      <c r="AF8" s="66" t="s">
        <v>16</v>
      </c>
      <c r="AG8" s="117" t="s">
        <v>899</v>
      </c>
      <c r="AH8" s="117"/>
      <c r="AI8" s="117"/>
      <c r="AJ8" s="117"/>
    </row>
    <row r="9" ht="48" customHeight="1" spans="1:36">
      <c r="A9" s="69"/>
      <c r="B9" s="72"/>
      <c r="C9" s="72"/>
      <c r="D9" s="72"/>
      <c r="E9" s="72"/>
      <c r="F9" s="65"/>
      <c r="G9" s="66" t="s">
        <v>18</v>
      </c>
      <c r="H9" s="75" t="s">
        <v>900</v>
      </c>
      <c r="I9" s="75"/>
      <c r="J9" s="75"/>
      <c r="K9" s="75"/>
      <c r="L9" s="66" t="s">
        <v>20</v>
      </c>
      <c r="M9" s="101">
        <v>4</v>
      </c>
      <c r="N9" s="102">
        <v>0</v>
      </c>
      <c r="O9" s="66" t="s">
        <v>21</v>
      </c>
      <c r="P9" s="100" t="s">
        <v>45</v>
      </c>
      <c r="Q9" s="66" t="s">
        <v>20</v>
      </c>
      <c r="R9" s="101">
        <v>6</v>
      </c>
      <c r="S9" s="102">
        <v>1</v>
      </c>
      <c r="T9" s="66" t="s">
        <v>21</v>
      </c>
      <c r="U9" s="100" t="str">
        <f>_xlfn.DISPIMG("ID_43EFE553F0214BC690897F2A4F9BAA95",1)</f>
        <v>=DISPIMG("ID_43EFE553F0214BC690897F2A4F9BAA95",1)</v>
      </c>
      <c r="V9" s="66" t="s">
        <v>20</v>
      </c>
      <c r="W9" s="101">
        <v>5</v>
      </c>
      <c r="X9" s="102">
        <v>0</v>
      </c>
      <c r="Y9" s="66" t="s">
        <v>21</v>
      </c>
      <c r="Z9" s="100" t="s">
        <v>45</v>
      </c>
      <c r="AA9" s="66" t="s">
        <v>20</v>
      </c>
      <c r="AB9" s="101">
        <v>4</v>
      </c>
      <c r="AC9" s="102">
        <v>0</v>
      </c>
      <c r="AD9" s="66" t="s">
        <v>21</v>
      </c>
      <c r="AE9" s="100" t="s">
        <v>45</v>
      </c>
      <c r="AF9" s="66" t="s">
        <v>24</v>
      </c>
      <c r="AG9" s="118" t="s">
        <v>901</v>
      </c>
      <c r="AH9" s="121"/>
      <c r="AI9" s="121"/>
      <c r="AJ9" s="121"/>
    </row>
    <row r="10" ht="70" customHeight="1" spans="1:36">
      <c r="A10" s="69" t="s">
        <v>49</v>
      </c>
      <c r="B10" s="76" t="s">
        <v>902</v>
      </c>
      <c r="C10" s="77"/>
      <c r="D10" s="77"/>
      <c r="E10" s="77"/>
      <c r="F10" s="65"/>
      <c r="G10" s="66"/>
      <c r="H10" s="75"/>
      <c r="I10" s="75"/>
      <c r="J10" s="75"/>
      <c r="K10" s="75"/>
      <c r="L10" s="66" t="s">
        <v>28</v>
      </c>
      <c r="M10" s="105" t="s">
        <v>903</v>
      </c>
      <c r="N10" s="105"/>
      <c r="O10" s="105"/>
      <c r="P10" s="105"/>
      <c r="Q10" s="66" t="s">
        <v>28</v>
      </c>
      <c r="R10" s="104" t="s">
        <v>904</v>
      </c>
      <c r="S10" s="104"/>
      <c r="T10" s="104"/>
      <c r="U10" s="104"/>
      <c r="V10" s="66" t="s">
        <v>28</v>
      </c>
      <c r="W10" s="107" t="s">
        <v>905</v>
      </c>
      <c r="X10" s="107"/>
      <c r="Y10" s="107"/>
      <c r="Z10" s="107"/>
      <c r="AA10" s="66" t="s">
        <v>28</v>
      </c>
      <c r="AB10" s="107" t="s">
        <v>906</v>
      </c>
      <c r="AC10" s="107"/>
      <c r="AD10" s="107"/>
      <c r="AE10" s="107"/>
      <c r="AF10" s="66"/>
      <c r="AG10" s="121"/>
      <c r="AH10" s="121"/>
      <c r="AI10" s="121"/>
      <c r="AJ10" s="121"/>
    </row>
    <row r="11" ht="15" customHeight="1" spans="1:36">
      <c r="A11" s="78"/>
      <c r="B11" s="78"/>
      <c r="C11" s="78"/>
      <c r="D11" s="78"/>
      <c r="E11" s="78"/>
      <c r="F11" s="65" t="s">
        <v>55</v>
      </c>
      <c r="G11" s="73" t="s">
        <v>56</v>
      </c>
      <c r="H11" s="73"/>
      <c r="I11" s="73"/>
      <c r="J11" s="73"/>
      <c r="K11" s="73"/>
      <c r="L11" s="106" t="s">
        <v>907</v>
      </c>
      <c r="M11" s="61"/>
      <c r="N11" s="61"/>
      <c r="O11" s="61"/>
      <c r="P11" s="61"/>
      <c r="Q11" s="61" t="s">
        <v>908</v>
      </c>
      <c r="R11" s="61"/>
      <c r="S11" s="61"/>
      <c r="T11" s="61"/>
      <c r="U11" s="61"/>
      <c r="V11" s="61" t="s">
        <v>909</v>
      </c>
      <c r="W11" s="61"/>
      <c r="X11" s="61"/>
      <c r="Y11" s="61"/>
      <c r="Z11" s="61"/>
      <c r="AA11" s="61" t="s">
        <v>910</v>
      </c>
      <c r="AB11" s="61"/>
      <c r="AC11" s="61"/>
      <c r="AD11" s="61"/>
      <c r="AE11" s="61"/>
      <c r="AF11" s="73" t="s">
        <v>61</v>
      </c>
      <c r="AG11" s="73"/>
      <c r="AH11" s="73"/>
      <c r="AI11" s="73"/>
      <c r="AJ11" s="120"/>
    </row>
    <row r="12" ht="48" customHeight="1" spans="1:36">
      <c r="A12" s="79" t="s">
        <v>62</v>
      </c>
      <c r="B12" s="80" t="str">
        <f>_xlfn.DISPIMG("ID_A92604E3F2964BA3BAE30375E052A709",1)</f>
        <v>=DISPIMG("ID_A92604E3F2964BA3BAE30375E052A709",1)</v>
      </c>
      <c r="C12" s="80"/>
      <c r="D12" s="80"/>
      <c r="E12" s="80"/>
      <c r="F12" s="65"/>
      <c r="G12" s="66" t="s">
        <v>11</v>
      </c>
      <c r="H12" s="81" t="s">
        <v>911</v>
      </c>
      <c r="I12" s="81"/>
      <c r="J12" s="81"/>
      <c r="K12" s="81"/>
      <c r="L12" s="66" t="s">
        <v>13</v>
      </c>
      <c r="M12" s="98">
        <v>0</v>
      </c>
      <c r="N12" s="99">
        <v>1</v>
      </c>
      <c r="O12" s="66" t="s">
        <v>14</v>
      </c>
      <c r="P12" s="100" t="s">
        <v>45</v>
      </c>
      <c r="Q12" s="66" t="s">
        <v>13</v>
      </c>
      <c r="R12" s="98">
        <v>1</v>
      </c>
      <c r="S12" s="99">
        <v>0</v>
      </c>
      <c r="T12" s="66" t="s">
        <v>14</v>
      </c>
      <c r="U12" s="100" t="s">
        <v>45</v>
      </c>
      <c r="V12" s="66" t="s">
        <v>13</v>
      </c>
      <c r="W12" s="98">
        <v>1</v>
      </c>
      <c r="X12" s="99">
        <v>1</v>
      </c>
      <c r="Y12" s="66" t="s">
        <v>14</v>
      </c>
      <c r="Z12" s="100" t="s">
        <v>45</v>
      </c>
      <c r="AA12" s="66" t="s">
        <v>13</v>
      </c>
      <c r="AB12" s="98">
        <v>0</v>
      </c>
      <c r="AC12" s="99">
        <v>1</v>
      </c>
      <c r="AD12" s="66" t="s">
        <v>14</v>
      </c>
      <c r="AE12" s="100" t="s">
        <v>45</v>
      </c>
      <c r="AF12" s="66" t="s">
        <v>16</v>
      </c>
      <c r="AG12" s="67" t="s">
        <v>912</v>
      </c>
      <c r="AH12" s="67"/>
      <c r="AI12" s="67"/>
      <c r="AJ12" s="67"/>
    </row>
    <row r="13" ht="48" customHeight="1" spans="1:36">
      <c r="A13" s="82"/>
      <c r="B13" s="80"/>
      <c r="C13" s="80"/>
      <c r="D13" s="80"/>
      <c r="E13" s="80"/>
      <c r="F13" s="65"/>
      <c r="G13" s="66" t="s">
        <v>18</v>
      </c>
      <c r="H13" s="75" t="s">
        <v>913</v>
      </c>
      <c r="I13" s="75"/>
      <c r="J13" s="75"/>
      <c r="K13" s="75"/>
      <c r="L13" s="66" t="s">
        <v>20</v>
      </c>
      <c r="M13" s="101">
        <v>2</v>
      </c>
      <c r="N13" s="102">
        <v>0</v>
      </c>
      <c r="O13" s="66" t="s">
        <v>21</v>
      </c>
      <c r="P13" s="100" t="s">
        <v>45</v>
      </c>
      <c r="Q13" s="66" t="s">
        <v>20</v>
      </c>
      <c r="R13" s="101">
        <v>9</v>
      </c>
      <c r="S13" s="102">
        <v>0</v>
      </c>
      <c r="T13" s="66" t="s">
        <v>21</v>
      </c>
      <c r="U13" s="100" t="str">
        <f>_xlfn.DISPIMG("ID_73AD8180311B4600898D2FE92FF52E63",1)</f>
        <v>=DISPIMG("ID_73AD8180311B4600898D2FE92FF52E63",1)</v>
      </c>
      <c r="V13" s="66" t="s">
        <v>20</v>
      </c>
      <c r="W13" s="101">
        <v>7</v>
      </c>
      <c r="X13" s="102">
        <v>1</v>
      </c>
      <c r="Y13" s="66" t="s">
        <v>21</v>
      </c>
      <c r="Z13" s="100" t="s">
        <v>45</v>
      </c>
      <c r="AA13" s="66" t="s">
        <v>20</v>
      </c>
      <c r="AB13" s="101">
        <v>8</v>
      </c>
      <c r="AC13" s="102">
        <v>1</v>
      </c>
      <c r="AD13" s="66" t="s">
        <v>21</v>
      </c>
      <c r="AE13" s="100" t="s">
        <v>45</v>
      </c>
      <c r="AF13" s="66" t="s">
        <v>24</v>
      </c>
      <c r="AG13" s="75" t="s">
        <v>914</v>
      </c>
      <c r="AH13" s="122"/>
      <c r="AI13" s="122"/>
      <c r="AJ13" s="122"/>
    </row>
    <row r="14" ht="70" customHeight="1" spans="1:36">
      <c r="A14" s="82"/>
      <c r="B14" s="80"/>
      <c r="C14" s="80"/>
      <c r="D14" s="80"/>
      <c r="E14" s="80"/>
      <c r="F14" s="65"/>
      <c r="G14" s="66"/>
      <c r="H14" s="75"/>
      <c r="I14" s="75"/>
      <c r="J14" s="75"/>
      <c r="K14" s="75"/>
      <c r="L14" s="66" t="s">
        <v>28</v>
      </c>
      <c r="M14" s="107" t="s">
        <v>915</v>
      </c>
      <c r="N14" s="107"/>
      <c r="O14" s="107"/>
      <c r="P14" s="107"/>
      <c r="Q14" s="66" t="s">
        <v>28</v>
      </c>
      <c r="R14" s="108" t="s">
        <v>916</v>
      </c>
      <c r="S14" s="108"/>
      <c r="T14" s="108"/>
      <c r="U14" s="108"/>
      <c r="V14" s="66" t="s">
        <v>28</v>
      </c>
      <c r="W14" s="105" t="s">
        <v>917</v>
      </c>
      <c r="X14" s="105"/>
      <c r="Y14" s="105"/>
      <c r="Z14" s="105"/>
      <c r="AA14" s="66" t="s">
        <v>28</v>
      </c>
      <c r="AB14" s="113" t="s">
        <v>918</v>
      </c>
      <c r="AC14" s="114"/>
      <c r="AD14" s="114"/>
      <c r="AE14" s="114"/>
      <c r="AF14" s="66"/>
      <c r="AG14" s="122"/>
      <c r="AH14" s="122"/>
      <c r="AI14" s="122"/>
      <c r="AJ14" s="122"/>
    </row>
    <row r="15" ht="15" customHeight="1" spans="1:36">
      <c r="A15" s="83"/>
      <c r="B15" s="83"/>
      <c r="C15" s="83"/>
      <c r="D15" s="83"/>
      <c r="E15" s="83"/>
      <c r="F15" s="65" t="s">
        <v>77</v>
      </c>
      <c r="G15" s="84" t="s">
        <v>78</v>
      </c>
      <c r="H15" s="73"/>
      <c r="I15" s="73"/>
      <c r="J15" s="73"/>
      <c r="K15" s="73"/>
      <c r="L15" s="61" t="s">
        <v>919</v>
      </c>
      <c r="M15" s="61"/>
      <c r="N15" s="61"/>
      <c r="O15" s="61"/>
      <c r="P15" s="61"/>
      <c r="Q15" s="106" t="s">
        <v>920</v>
      </c>
      <c r="R15" s="61"/>
      <c r="S15" s="61"/>
      <c r="T15" s="61"/>
      <c r="U15" s="61"/>
      <c r="V15" s="61" t="s">
        <v>921</v>
      </c>
      <c r="W15" s="61"/>
      <c r="X15" s="61"/>
      <c r="Y15" s="61"/>
      <c r="Z15" s="61"/>
      <c r="AA15" s="61" t="s">
        <v>922</v>
      </c>
      <c r="AB15" s="61"/>
      <c r="AC15" s="61"/>
      <c r="AD15" s="61"/>
      <c r="AE15" s="61"/>
      <c r="AF15" s="84" t="s">
        <v>78</v>
      </c>
      <c r="AG15" s="73"/>
      <c r="AH15" s="73"/>
      <c r="AI15" s="73"/>
      <c r="AJ15" s="120"/>
    </row>
    <row r="16" ht="48" customHeight="1" spans="1:36">
      <c r="A16" s="85" t="s">
        <v>83</v>
      </c>
      <c r="B16" s="86" t="s">
        <v>88</v>
      </c>
      <c r="C16" s="87"/>
      <c r="D16" s="87"/>
      <c r="E16" s="87"/>
      <c r="F16" s="65"/>
      <c r="G16" s="66" t="s">
        <v>16</v>
      </c>
      <c r="H16" s="88" t="s">
        <v>923</v>
      </c>
      <c r="I16" s="88"/>
      <c r="J16" s="88"/>
      <c r="K16" s="88"/>
      <c r="L16" s="66" t="s">
        <v>13</v>
      </c>
      <c r="M16" s="98">
        <v>1</v>
      </c>
      <c r="N16" s="99">
        <v>1</v>
      </c>
      <c r="O16" s="66" t="s">
        <v>14</v>
      </c>
      <c r="P16" s="100" t="s">
        <v>44</v>
      </c>
      <c r="Q16" s="66" t="s">
        <v>13</v>
      </c>
      <c r="R16" s="98">
        <v>0</v>
      </c>
      <c r="S16" s="99">
        <v>0</v>
      </c>
      <c r="T16" s="66" t="s">
        <v>14</v>
      </c>
      <c r="U16" s="100" t="s">
        <v>44</v>
      </c>
      <c r="V16" s="66" t="s">
        <v>13</v>
      </c>
      <c r="W16" s="98">
        <v>1</v>
      </c>
      <c r="X16" s="99">
        <v>0</v>
      </c>
      <c r="Y16" s="66" t="s">
        <v>14</v>
      </c>
      <c r="Z16" s="100" t="s">
        <v>44</v>
      </c>
      <c r="AA16" s="66" t="s">
        <v>13</v>
      </c>
      <c r="AB16" s="98">
        <v>1</v>
      </c>
      <c r="AC16" s="99">
        <v>1</v>
      </c>
      <c r="AD16" s="66" t="s">
        <v>14</v>
      </c>
      <c r="AE16" s="100" t="s">
        <v>45</v>
      </c>
      <c r="AF16" s="66" t="s">
        <v>16</v>
      </c>
      <c r="AG16" s="88" t="s">
        <v>924</v>
      </c>
      <c r="AH16" s="88"/>
      <c r="AI16" s="88"/>
      <c r="AJ16" s="88"/>
    </row>
    <row r="17" ht="48" customHeight="1" spans="1:36">
      <c r="A17" s="85" t="s">
        <v>87</v>
      </c>
      <c r="B17" s="86" t="s">
        <v>88</v>
      </c>
      <c r="C17" s="87"/>
      <c r="D17" s="87"/>
      <c r="E17" s="87"/>
      <c r="F17" s="65"/>
      <c r="G17" s="66" t="s">
        <v>24</v>
      </c>
      <c r="H17" s="89" t="s">
        <v>925</v>
      </c>
      <c r="I17" s="89"/>
      <c r="J17" s="89"/>
      <c r="K17" s="89"/>
      <c r="L17" s="66" t="s">
        <v>20</v>
      </c>
      <c r="M17" s="101">
        <v>10</v>
      </c>
      <c r="N17" s="102">
        <v>0</v>
      </c>
      <c r="O17" s="66" t="s">
        <v>21</v>
      </c>
      <c r="P17" s="100" t="s">
        <v>22</v>
      </c>
      <c r="Q17" s="66" t="s">
        <v>20</v>
      </c>
      <c r="R17" s="101">
        <v>2</v>
      </c>
      <c r="S17" s="102">
        <v>0</v>
      </c>
      <c r="T17" s="66" t="s">
        <v>21</v>
      </c>
      <c r="U17" s="100" t="s">
        <v>22</v>
      </c>
      <c r="V17" s="66" t="s">
        <v>20</v>
      </c>
      <c r="W17" s="101">
        <v>0</v>
      </c>
      <c r="X17" s="102">
        <v>1</v>
      </c>
      <c r="Y17" s="66" t="s">
        <v>21</v>
      </c>
      <c r="Z17" s="100" t="s">
        <v>22</v>
      </c>
      <c r="AA17" s="66" t="s">
        <v>20</v>
      </c>
      <c r="AB17" s="101">
        <v>6</v>
      </c>
      <c r="AC17" s="102">
        <v>1</v>
      </c>
      <c r="AD17" s="66" t="s">
        <v>21</v>
      </c>
      <c r="AE17" s="100" t="s">
        <v>45</v>
      </c>
      <c r="AF17" s="66" t="s">
        <v>24</v>
      </c>
      <c r="AG17" s="89" t="s">
        <v>926</v>
      </c>
      <c r="AH17" s="89"/>
      <c r="AI17" s="89"/>
      <c r="AJ17" s="89"/>
    </row>
    <row r="18" ht="87" customHeight="1" spans="1:36">
      <c r="A18" s="90" t="s">
        <v>92</v>
      </c>
      <c r="B18" s="91" t="s">
        <v>215</v>
      </c>
      <c r="C18" s="92"/>
      <c r="D18" s="92"/>
      <c r="E18" s="92"/>
      <c r="F18" s="93"/>
      <c r="G18" s="94"/>
      <c r="H18" s="95"/>
      <c r="I18" s="95"/>
      <c r="J18" s="95"/>
      <c r="K18" s="95"/>
      <c r="L18" s="66" t="s">
        <v>28</v>
      </c>
      <c r="M18" s="108" t="s">
        <v>927</v>
      </c>
      <c r="N18" s="108"/>
      <c r="O18" s="108"/>
      <c r="P18" s="108"/>
      <c r="Q18" s="66" t="s">
        <v>28</v>
      </c>
      <c r="R18" s="107" t="s">
        <v>928</v>
      </c>
      <c r="S18" s="107"/>
      <c r="T18" s="107"/>
      <c r="U18" s="107"/>
      <c r="V18" s="66" t="s">
        <v>28</v>
      </c>
      <c r="W18" s="103" t="s">
        <v>929</v>
      </c>
      <c r="X18" s="103"/>
      <c r="Y18" s="103"/>
      <c r="Z18" s="103"/>
      <c r="AA18" s="66" t="s">
        <v>28</v>
      </c>
      <c r="AB18" s="111" t="s">
        <v>930</v>
      </c>
      <c r="AC18" s="111"/>
      <c r="AD18" s="111"/>
      <c r="AE18" s="111"/>
      <c r="AF18" s="94"/>
      <c r="AG18" s="95"/>
      <c r="AH18" s="95"/>
      <c r="AI18" s="95"/>
      <c r="AJ18" s="95"/>
    </row>
    <row r="47" spans="18:18">
      <c r="R47"/>
    </row>
  </sheetData>
  <sheetProtection selectLockedCells="1" formatCells="0" formatColumns="0" formatRows="0" insertRows="0" insertColumns="0" insertHyperlinks="0" deleteColumns="0" deleteRows="0" sort="0" autoFilter="0" pivotTables="0"/>
  <mergeCells count="85">
    <mergeCell ref="B1:C1"/>
    <mergeCell ref="D1:E1"/>
    <mergeCell ref="H1:O1"/>
    <mergeCell ref="Q1:U1"/>
    <mergeCell ref="V1:Z1"/>
    <mergeCell ref="AA1:AE1"/>
    <mergeCell ref="G3:K3"/>
    <mergeCell ref="L3:P3"/>
    <mergeCell ref="Q3:U3"/>
    <mergeCell ref="V3:Z3"/>
    <mergeCell ref="AA3:AE3"/>
    <mergeCell ref="AF3:AJ3"/>
    <mergeCell ref="H4:K4"/>
    <mergeCell ref="AG4:AJ4"/>
    <mergeCell ref="B6:E6"/>
    <mergeCell ref="M6:P6"/>
    <mergeCell ref="R6:U6"/>
    <mergeCell ref="W6:Z6"/>
    <mergeCell ref="AB6:AE6"/>
    <mergeCell ref="G7:K7"/>
    <mergeCell ref="L7:P7"/>
    <mergeCell ref="Q7:U7"/>
    <mergeCell ref="V7:Z7"/>
    <mergeCell ref="AA7:AE7"/>
    <mergeCell ref="AF7:AJ7"/>
    <mergeCell ref="H8:K8"/>
    <mergeCell ref="AG8:AJ8"/>
    <mergeCell ref="B10:E10"/>
    <mergeCell ref="M10:P10"/>
    <mergeCell ref="R10:U10"/>
    <mergeCell ref="W10:Z10"/>
    <mergeCell ref="AB10:AE10"/>
    <mergeCell ref="G11:K11"/>
    <mergeCell ref="L11:P11"/>
    <mergeCell ref="Q11:U11"/>
    <mergeCell ref="V11:Z11"/>
    <mergeCell ref="AA11:AE11"/>
    <mergeCell ref="AF11:AJ11"/>
    <mergeCell ref="H12:K12"/>
    <mergeCell ref="AG12:AJ12"/>
    <mergeCell ref="M14:P14"/>
    <mergeCell ref="R14:U14"/>
    <mergeCell ref="W14:Z14"/>
    <mergeCell ref="AB14:AE14"/>
    <mergeCell ref="G15:K15"/>
    <mergeCell ref="L15:P15"/>
    <mergeCell ref="Q15:U15"/>
    <mergeCell ref="V15:Z15"/>
    <mergeCell ref="AA15:AE15"/>
    <mergeCell ref="AF15:AJ15"/>
    <mergeCell ref="B16:E16"/>
    <mergeCell ref="H16:K16"/>
    <mergeCell ref="AG16:AJ16"/>
    <mergeCell ref="B17:E17"/>
    <mergeCell ref="B18:E18"/>
    <mergeCell ref="M18:P18"/>
    <mergeCell ref="R18:U18"/>
    <mergeCell ref="W18:Z18"/>
    <mergeCell ref="AB18:AE18"/>
    <mergeCell ref="A7:A9"/>
    <mergeCell ref="A12:A14"/>
    <mergeCell ref="F3:F6"/>
    <mergeCell ref="F7:F10"/>
    <mergeCell ref="F11:F14"/>
    <mergeCell ref="F15:F18"/>
    <mergeCell ref="G5:G6"/>
    <mergeCell ref="G9:G10"/>
    <mergeCell ref="G13:G14"/>
    <mergeCell ref="G17:G18"/>
    <mergeCell ref="AF5:AF6"/>
    <mergeCell ref="AF9:AF10"/>
    <mergeCell ref="AF13:AF14"/>
    <mergeCell ref="AF17:AF18"/>
    <mergeCell ref="A4:B5"/>
    <mergeCell ref="C4:E5"/>
    <mergeCell ref="AG5:AJ6"/>
    <mergeCell ref="B7:E9"/>
    <mergeCell ref="AG9:AJ10"/>
    <mergeCell ref="B12:E14"/>
    <mergeCell ref="H13:K14"/>
    <mergeCell ref="AG13:AJ14"/>
    <mergeCell ref="H9:K10"/>
    <mergeCell ref="H5:K6"/>
    <mergeCell ref="H17:K18"/>
    <mergeCell ref="AG17:AJ18"/>
  </mergeCells>
  <conditionalFormatting sqref="M4">
    <cfRule type="cellIs" dxfId="0" priority="43" operator="equal">
      <formula>0</formula>
    </cfRule>
  </conditionalFormatting>
  <conditionalFormatting sqref="N4">
    <cfRule type="cellIs" dxfId="0" priority="44" operator="equal">
      <formula>0</formula>
    </cfRule>
  </conditionalFormatting>
  <conditionalFormatting sqref="R4">
    <cfRule type="cellIs" dxfId="0" priority="40" operator="equal">
      <formula>0</formula>
    </cfRule>
  </conditionalFormatting>
  <conditionalFormatting sqref="S4">
    <cfRule type="cellIs" dxfId="0" priority="41" operator="equal">
      <formula>0</formula>
    </cfRule>
  </conditionalFormatting>
  <conditionalFormatting sqref="W4">
    <cfRule type="cellIs" dxfId="0" priority="37" operator="equal">
      <formula>0</formula>
    </cfRule>
  </conditionalFormatting>
  <conditionalFormatting sqref="X4">
    <cfRule type="cellIs" dxfId="0" priority="38" operator="equal">
      <formula>0</formula>
    </cfRule>
  </conditionalFormatting>
  <conditionalFormatting sqref="AB4">
    <cfRule type="cellIs" dxfId="0" priority="34" operator="equal">
      <formula>0</formula>
    </cfRule>
  </conditionalFormatting>
  <conditionalFormatting sqref="AC4">
    <cfRule type="cellIs" dxfId="0" priority="35" operator="equal">
      <formula>0</formula>
    </cfRule>
  </conditionalFormatting>
  <conditionalFormatting sqref="M8">
    <cfRule type="cellIs" dxfId="0" priority="7" operator="equal">
      <formula>0</formula>
    </cfRule>
  </conditionalFormatting>
  <conditionalFormatting sqref="N8">
    <cfRule type="cellIs" dxfId="0" priority="8" operator="equal">
      <formula>0</formula>
    </cfRule>
  </conditionalFormatting>
  <conditionalFormatting sqref="R8">
    <cfRule type="cellIs" dxfId="0" priority="4" operator="equal">
      <formula>0</formula>
    </cfRule>
  </conditionalFormatting>
  <conditionalFormatting sqref="S8">
    <cfRule type="cellIs" dxfId="0" priority="5" operator="equal">
      <formula>0</formula>
    </cfRule>
  </conditionalFormatting>
  <conditionalFormatting sqref="W8">
    <cfRule type="cellIs" dxfId="0" priority="25" operator="equal">
      <formula>0</formula>
    </cfRule>
  </conditionalFormatting>
  <conditionalFormatting sqref="X8">
    <cfRule type="cellIs" dxfId="0" priority="26" operator="equal">
      <formula>0</formula>
    </cfRule>
  </conditionalFormatting>
  <conditionalFormatting sqref="AB8">
    <cfRule type="cellIs" dxfId="0" priority="13" operator="equal">
      <formula>0</formula>
    </cfRule>
  </conditionalFormatting>
  <conditionalFormatting sqref="AC8">
    <cfRule type="cellIs" dxfId="0" priority="14" operator="equal">
      <formula>0</formula>
    </cfRule>
  </conditionalFormatting>
  <conditionalFormatting sqref="M12">
    <cfRule type="cellIs" dxfId="0" priority="31" operator="equal">
      <formula>0</formula>
    </cfRule>
  </conditionalFormatting>
  <conditionalFormatting sqref="N12">
    <cfRule type="cellIs" dxfId="0" priority="32" operator="equal">
      <formula>0</formula>
    </cfRule>
  </conditionalFormatting>
  <conditionalFormatting sqref="R12">
    <cfRule type="cellIs" dxfId="0" priority="28" operator="equal">
      <formula>0</formula>
    </cfRule>
  </conditionalFormatting>
  <conditionalFormatting sqref="S12">
    <cfRule type="cellIs" dxfId="0" priority="29" operator="equal">
      <formula>0</formula>
    </cfRule>
  </conditionalFormatting>
  <conditionalFormatting sqref="W12">
    <cfRule type="cellIs" dxfId="0" priority="22" operator="equal">
      <formula>0</formula>
    </cfRule>
  </conditionalFormatting>
  <conditionalFormatting sqref="X12">
    <cfRule type="cellIs" dxfId="0" priority="23" operator="equal">
      <formula>0</formula>
    </cfRule>
  </conditionalFormatting>
  <conditionalFormatting sqref="AB12">
    <cfRule type="cellIs" dxfId="0" priority="1" operator="equal">
      <formula>0</formula>
    </cfRule>
  </conditionalFormatting>
  <conditionalFormatting sqref="AC12">
    <cfRule type="cellIs" dxfId="0" priority="2" operator="equal">
      <formula>0</formula>
    </cfRule>
  </conditionalFormatting>
  <conditionalFormatting sqref="R16">
    <cfRule type="cellIs" dxfId="0" priority="19" operator="equal">
      <formula>0</formula>
    </cfRule>
  </conditionalFormatting>
  <conditionalFormatting sqref="S16">
    <cfRule type="cellIs" dxfId="0" priority="20" operator="equal">
      <formula>0</formula>
    </cfRule>
  </conditionalFormatting>
  <conditionalFormatting sqref="W16">
    <cfRule type="cellIs" dxfId="0" priority="16" operator="equal">
      <formula>0</formula>
    </cfRule>
  </conditionalFormatting>
  <conditionalFormatting sqref="X16">
    <cfRule type="cellIs" dxfId="0" priority="17" operator="equal">
      <formula>0</formula>
    </cfRule>
  </conditionalFormatting>
  <conditionalFormatting sqref="AB16">
    <cfRule type="cellIs" dxfId="0" priority="10" operator="equal">
      <formula>0</formula>
    </cfRule>
  </conditionalFormatting>
  <conditionalFormatting sqref="AC16">
    <cfRule type="cellIs" dxfId="0" priority="11" operator="equal">
      <formula>0</formula>
    </cfRule>
  </conditionalFormatting>
  <conditionalFormatting sqref="M4:N5">
    <cfRule type="cellIs" dxfId="1" priority="45" operator="equal">
      <formula>0</formula>
    </cfRule>
  </conditionalFormatting>
  <conditionalFormatting sqref="R4:S5">
    <cfRule type="cellIs" dxfId="1" priority="42" operator="equal">
      <formula>0</formula>
    </cfRule>
  </conditionalFormatting>
  <conditionalFormatting sqref="W4:X5">
    <cfRule type="cellIs" dxfId="1" priority="39" operator="equal">
      <formula>0</formula>
    </cfRule>
  </conditionalFormatting>
  <conditionalFormatting sqref="AB4:AC5">
    <cfRule type="cellIs" dxfId="1" priority="36" operator="equal">
      <formula>0</formula>
    </cfRule>
  </conditionalFormatting>
  <conditionalFormatting sqref="M8:N9">
    <cfRule type="cellIs" dxfId="1" priority="9" operator="equal">
      <formula>0</formula>
    </cfRule>
  </conditionalFormatting>
  <conditionalFormatting sqref="R8:S9">
    <cfRule type="cellIs" dxfId="1" priority="6" operator="equal">
      <formula>0</formula>
    </cfRule>
  </conditionalFormatting>
  <conditionalFormatting sqref="W8:X9">
    <cfRule type="cellIs" dxfId="1" priority="27" operator="equal">
      <formula>0</formula>
    </cfRule>
  </conditionalFormatting>
  <conditionalFormatting sqref="AB8:AC9">
    <cfRule type="cellIs" dxfId="1" priority="15" operator="equal">
      <formula>0</formula>
    </cfRule>
  </conditionalFormatting>
  <conditionalFormatting sqref="M12:N13">
    <cfRule type="cellIs" dxfId="1" priority="33" operator="equal">
      <formula>0</formula>
    </cfRule>
  </conditionalFormatting>
  <conditionalFormatting sqref="R12:S13">
    <cfRule type="cellIs" dxfId="1" priority="30" operator="equal">
      <formula>0</formula>
    </cfRule>
  </conditionalFormatting>
  <conditionalFormatting sqref="W12:X13">
    <cfRule type="cellIs" dxfId="1" priority="24" operator="equal">
      <formula>0</formula>
    </cfRule>
  </conditionalFormatting>
  <conditionalFormatting sqref="AB12:AC13">
    <cfRule type="cellIs" dxfId="1" priority="3" operator="equal">
      <formula>0</formula>
    </cfRule>
  </conditionalFormatting>
  <conditionalFormatting sqref="R16:S17">
    <cfRule type="cellIs" dxfId="1" priority="21" operator="equal">
      <formula>0</formula>
    </cfRule>
  </conditionalFormatting>
  <conditionalFormatting sqref="W16:X17">
    <cfRule type="cellIs" dxfId="1" priority="18" operator="equal">
      <formula>0</formula>
    </cfRule>
  </conditionalFormatting>
  <conditionalFormatting sqref="AB16:AC17">
    <cfRule type="cellIs" dxfId="1" priority="12" operator="equal">
      <formula>0</formula>
    </cfRule>
  </conditionalFormatting>
  <pageMargins left="0.75" right="0.75" top="1" bottom="1" header="0.5" footer="0.5"/>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tint="0.35"/>
  </sheetPr>
  <dimension ref="A1:AJ47"/>
  <sheetViews>
    <sheetView showGridLines="0" zoomScale="70" zoomScaleNormal="70" workbookViewId="0">
      <selection activeCell="AB6" sqref="AB6:AE6"/>
    </sheetView>
  </sheetViews>
  <sheetFormatPr defaultColWidth="8.89090909090909" defaultRowHeight="16.5"/>
  <cols>
    <col min="1" max="1" width="9.14545454545454" style="1" customWidth="1"/>
    <col min="2" max="4" width="8.89090909090909" style="1"/>
    <col min="5" max="5" width="9.83636363636364" style="1" customWidth="1"/>
    <col min="6" max="6" width="4.34545454545455" style="1" customWidth="1"/>
    <col min="7" max="7" width="5.71818181818182" style="1" customWidth="1"/>
    <col min="8" max="8" width="8.89090909090909" style="1"/>
    <col min="9" max="9" width="9.83636363636364" style="1" customWidth="1"/>
    <col min="10" max="10" width="6.97272727272727" style="1" customWidth="1"/>
    <col min="11" max="11" width="8.89090909090909" style="1"/>
    <col min="12" max="12" width="5.77272727272727" style="1" customWidth="1"/>
    <col min="13" max="14" width="8.77272727272727" style="1" customWidth="1"/>
    <col min="15" max="15" width="5.77272727272727" style="1" customWidth="1"/>
    <col min="16" max="16" width="16.8272727272727" style="1" customWidth="1"/>
    <col min="17" max="17" width="5.77272727272727" style="1" customWidth="1"/>
    <col min="18" max="19" width="8.77272727272727" style="1" customWidth="1"/>
    <col min="20" max="20" width="5.77272727272727" style="1" customWidth="1"/>
    <col min="21" max="21" width="14.7727272727273" style="1" customWidth="1"/>
    <col min="22" max="22" width="5.77272727272727" style="1" customWidth="1"/>
    <col min="23" max="24" width="8.77272727272727" style="1" customWidth="1"/>
    <col min="25" max="25" width="5.77272727272727" style="1" customWidth="1"/>
    <col min="26" max="26" width="14.7727272727273" style="1" customWidth="1"/>
    <col min="27" max="27" width="5.77272727272727" style="1" customWidth="1"/>
    <col min="28" max="29" width="8.77272727272727" style="1" customWidth="1"/>
    <col min="30" max="30" width="5.77272727272727" style="1" customWidth="1"/>
    <col min="31" max="31" width="14.7727272727273" style="1" customWidth="1"/>
    <col min="32" max="32" width="5.71818181818182" style="1" customWidth="1"/>
    <col min="33" max="16384" width="8.89090909090909" style="1"/>
  </cols>
  <sheetData>
    <row r="1" ht="61" customHeight="1" spans="1:36">
      <c r="A1" s="2" t="str">
        <f>_xlfn.DISPIMG("ID_265424E762614271A0DCE5079B3E24EA",1)</f>
        <v>=DISPIMG("ID_265424E762614271A0DCE5079B3E24EA",1)</v>
      </c>
      <c r="B1" s="3" t="s">
        <v>877</v>
      </c>
      <c r="C1" s="3"/>
      <c r="D1" s="4" t="s">
        <v>1</v>
      </c>
      <c r="E1" s="4"/>
      <c r="F1" s="5"/>
      <c r="G1" s="6"/>
      <c r="H1" s="6"/>
      <c r="I1" s="6"/>
      <c r="J1" s="6"/>
      <c r="K1" s="6"/>
      <c r="L1" s="5"/>
      <c r="M1" s="5"/>
      <c r="N1" s="5"/>
      <c r="O1" s="5"/>
      <c r="P1" s="5"/>
      <c r="Q1" s="5"/>
      <c r="R1" s="5"/>
      <c r="S1" s="5"/>
      <c r="T1" s="5"/>
      <c r="U1" s="5"/>
      <c r="V1" s="5"/>
      <c r="W1" s="5"/>
      <c r="X1" s="5"/>
      <c r="Y1" s="5"/>
      <c r="Z1" s="5"/>
      <c r="AA1" s="5"/>
      <c r="AB1" s="5"/>
      <c r="AC1" s="5"/>
      <c r="AD1" s="5"/>
      <c r="AE1" s="5"/>
      <c r="AF1" s="6"/>
      <c r="AG1" s="6"/>
      <c r="AH1" s="6"/>
      <c r="AI1" s="6"/>
      <c r="AJ1" s="6"/>
    </row>
    <row r="2" ht="15.75" customHeight="1" spans="1:36">
      <c r="A2" s="7"/>
      <c r="B2" s="7"/>
      <c r="C2" s="7"/>
      <c r="D2" s="7"/>
      <c r="E2" s="7"/>
      <c r="F2" s="8"/>
      <c r="G2" s="6"/>
      <c r="H2" s="6"/>
      <c r="I2" s="6"/>
      <c r="J2" s="6"/>
      <c r="K2" s="6"/>
      <c r="L2" s="8"/>
      <c r="M2" s="8"/>
      <c r="N2" s="8"/>
      <c r="O2" s="8"/>
      <c r="P2" s="8"/>
      <c r="Q2" s="8"/>
      <c r="R2" s="8"/>
      <c r="S2" s="8"/>
      <c r="T2" s="8"/>
      <c r="U2" s="8"/>
      <c r="V2" s="8"/>
      <c r="W2" s="8"/>
      <c r="X2" s="8"/>
      <c r="Y2" s="8"/>
      <c r="Z2" s="8"/>
      <c r="AA2" s="8"/>
      <c r="AB2" s="8"/>
      <c r="AC2" s="8"/>
      <c r="AD2" s="8"/>
      <c r="AE2" s="8"/>
      <c r="AF2" s="6"/>
      <c r="AG2" s="6"/>
      <c r="AH2" s="6"/>
      <c r="AI2" s="6"/>
      <c r="AJ2" s="6"/>
    </row>
    <row r="3" ht="21" customHeight="1" spans="1:36">
      <c r="A3" s="7"/>
      <c r="B3" s="7"/>
      <c r="C3" s="7"/>
      <c r="D3" s="7"/>
      <c r="E3" s="7"/>
      <c r="F3" s="9" t="s">
        <v>3</v>
      </c>
      <c r="G3" s="10" t="s">
        <v>4</v>
      </c>
      <c r="H3" s="10"/>
      <c r="I3" s="10"/>
      <c r="J3" s="10"/>
      <c r="K3" s="10"/>
      <c r="L3" s="10" t="s">
        <v>931</v>
      </c>
      <c r="M3" s="10"/>
      <c r="N3" s="10"/>
      <c r="O3" s="10"/>
      <c r="P3" s="10"/>
      <c r="Q3" s="10" t="s">
        <v>932</v>
      </c>
      <c r="R3" s="10"/>
      <c r="S3" s="10"/>
      <c r="T3" s="10"/>
      <c r="U3" s="10"/>
      <c r="V3" s="10" t="s">
        <v>933</v>
      </c>
      <c r="W3" s="10"/>
      <c r="X3" s="10"/>
      <c r="Y3" s="10"/>
      <c r="Z3" s="10"/>
      <c r="AA3" s="10" t="s">
        <v>934</v>
      </c>
      <c r="AB3" s="10"/>
      <c r="AC3" s="10"/>
      <c r="AD3" s="10"/>
      <c r="AE3" s="10"/>
      <c r="AF3" s="10" t="s">
        <v>9</v>
      </c>
      <c r="AG3" s="10"/>
      <c r="AH3" s="10"/>
      <c r="AI3" s="10"/>
      <c r="AJ3" s="10"/>
    </row>
    <row r="4" ht="49.5" customHeight="1" spans="1:36">
      <c r="A4" s="11" t="str">
        <f>_xlfn.DISPIMG("ID_8197F082FB2C4992900143D5B7F1E282",1)</f>
        <v>=DISPIMG("ID_8197F082FB2C4992900143D5B7F1E282",1)</v>
      </c>
      <c r="B4" s="11"/>
      <c r="C4" s="12" t="s">
        <v>935</v>
      </c>
      <c r="D4" s="12"/>
      <c r="E4" s="12"/>
      <c r="F4" s="9"/>
      <c r="G4" s="13" t="s">
        <v>11</v>
      </c>
      <c r="H4" s="14" t="s">
        <v>936</v>
      </c>
      <c r="I4" s="14"/>
      <c r="J4" s="14"/>
      <c r="K4" s="14"/>
      <c r="L4" s="13" t="s">
        <v>13</v>
      </c>
      <c r="M4" s="29">
        <v>0</v>
      </c>
      <c r="N4" s="30">
        <v>0</v>
      </c>
      <c r="O4" s="13" t="s">
        <v>14</v>
      </c>
      <c r="P4" s="31" t="s">
        <v>44</v>
      </c>
      <c r="Q4" s="13" t="s">
        <v>13</v>
      </c>
      <c r="R4" s="29">
        <v>0</v>
      </c>
      <c r="S4" s="30">
        <v>0</v>
      </c>
      <c r="T4" s="13" t="s">
        <v>14</v>
      </c>
      <c r="U4" s="31" t="s">
        <v>44</v>
      </c>
      <c r="V4" s="13" t="s">
        <v>13</v>
      </c>
      <c r="W4" s="39">
        <v>1</v>
      </c>
      <c r="X4" s="30">
        <v>0</v>
      </c>
      <c r="Y4" s="13" t="s">
        <v>14</v>
      </c>
      <c r="Z4" s="31" t="s">
        <v>44</v>
      </c>
      <c r="AA4" s="13" t="s">
        <v>13</v>
      </c>
      <c r="AB4" s="39">
        <v>1</v>
      </c>
      <c r="AC4" s="35">
        <v>1</v>
      </c>
      <c r="AD4" s="13" t="s">
        <v>14</v>
      </c>
      <c r="AE4" s="31" t="s">
        <v>44</v>
      </c>
      <c r="AF4" s="13" t="s">
        <v>16</v>
      </c>
      <c r="AG4" s="47" t="s">
        <v>937</v>
      </c>
      <c r="AH4" s="47"/>
      <c r="AI4" s="47"/>
      <c r="AJ4" s="47"/>
    </row>
    <row r="5" ht="49.5" customHeight="1" spans="1:36">
      <c r="A5" s="11"/>
      <c r="B5" s="11"/>
      <c r="C5" s="12"/>
      <c r="D5" s="12"/>
      <c r="E5" s="12"/>
      <c r="F5" s="9"/>
      <c r="G5" s="13" t="s">
        <v>18</v>
      </c>
      <c r="H5" s="15" t="s">
        <v>938</v>
      </c>
      <c r="I5" s="15"/>
      <c r="J5" s="15"/>
      <c r="K5" s="15"/>
      <c r="L5" s="13" t="s">
        <v>20</v>
      </c>
      <c r="M5" s="32">
        <v>2</v>
      </c>
      <c r="N5" s="33">
        <v>0</v>
      </c>
      <c r="O5" s="13" t="s">
        <v>21</v>
      </c>
      <c r="P5" s="31" t="s">
        <v>939</v>
      </c>
      <c r="Q5" s="13" t="s">
        <v>20</v>
      </c>
      <c r="R5" s="32">
        <v>2</v>
      </c>
      <c r="S5" s="33">
        <v>0</v>
      </c>
      <c r="T5" s="13" t="s">
        <v>21</v>
      </c>
      <c r="U5" s="31" t="s">
        <v>939</v>
      </c>
      <c r="V5" s="13" t="s">
        <v>20</v>
      </c>
      <c r="W5" s="32">
        <v>1</v>
      </c>
      <c r="X5" s="33">
        <v>0</v>
      </c>
      <c r="Y5" s="13" t="s">
        <v>21</v>
      </c>
      <c r="Z5" s="31" t="s">
        <v>939</v>
      </c>
      <c r="AA5" s="13" t="s">
        <v>20</v>
      </c>
      <c r="AB5" s="32">
        <v>3</v>
      </c>
      <c r="AC5" s="33">
        <v>0</v>
      </c>
      <c r="AD5" s="13" t="s">
        <v>21</v>
      </c>
      <c r="AE5" s="31" t="s">
        <v>939</v>
      </c>
      <c r="AF5" s="13" t="s">
        <v>24</v>
      </c>
      <c r="AG5" s="48" t="s">
        <v>940</v>
      </c>
      <c r="AH5" s="48"/>
      <c r="AI5" s="48"/>
      <c r="AJ5" s="48"/>
    </row>
    <row r="6" ht="71.5" customHeight="1" spans="1:36">
      <c r="A6" s="16" t="s">
        <v>357</v>
      </c>
      <c r="B6" s="17" t="s">
        <v>941</v>
      </c>
      <c r="C6" s="17"/>
      <c r="D6" s="17"/>
      <c r="E6" s="17"/>
      <c r="F6" s="9"/>
      <c r="G6" s="13"/>
      <c r="H6" s="15"/>
      <c r="I6" s="15"/>
      <c r="J6" s="15"/>
      <c r="K6" s="15"/>
      <c r="L6" s="13" t="s">
        <v>28</v>
      </c>
      <c r="M6" s="34" t="s">
        <v>942</v>
      </c>
      <c r="N6" s="34"/>
      <c r="O6" s="34"/>
      <c r="P6" s="34"/>
      <c r="Q6" s="13" t="s">
        <v>28</v>
      </c>
      <c r="R6" s="34" t="s">
        <v>943</v>
      </c>
      <c r="S6" s="34"/>
      <c r="T6" s="34"/>
      <c r="U6" s="34"/>
      <c r="V6" s="13" t="s">
        <v>28</v>
      </c>
      <c r="W6" s="41" t="s">
        <v>944</v>
      </c>
      <c r="X6" s="41"/>
      <c r="Y6" s="41"/>
      <c r="Z6" s="41"/>
      <c r="AA6" s="13" t="s">
        <v>28</v>
      </c>
      <c r="AB6" s="37" t="s">
        <v>945</v>
      </c>
      <c r="AC6" s="37"/>
      <c r="AD6" s="37"/>
      <c r="AE6" s="37"/>
      <c r="AF6" s="13"/>
      <c r="AG6" s="48"/>
      <c r="AH6" s="48"/>
      <c r="AI6" s="48"/>
      <c r="AJ6" s="48"/>
    </row>
    <row r="7" ht="18.75" customHeight="1" spans="1:36">
      <c r="A7" s="16" t="s">
        <v>363</v>
      </c>
      <c r="B7" s="17" t="s">
        <v>946</v>
      </c>
      <c r="C7" s="17"/>
      <c r="D7" s="17"/>
      <c r="E7" s="17"/>
      <c r="F7" s="18" t="s">
        <v>35</v>
      </c>
      <c r="G7" s="19" t="s">
        <v>36</v>
      </c>
      <c r="H7" s="19"/>
      <c r="I7" s="19"/>
      <c r="J7" s="19"/>
      <c r="K7" s="19"/>
      <c r="L7" s="10" t="s">
        <v>947</v>
      </c>
      <c r="M7" s="10"/>
      <c r="N7" s="10"/>
      <c r="O7" s="10"/>
      <c r="P7" s="10"/>
      <c r="Q7" s="10" t="s">
        <v>948</v>
      </c>
      <c r="R7" s="10"/>
      <c r="S7" s="10"/>
      <c r="T7" s="10"/>
      <c r="U7" s="10"/>
      <c r="V7" s="10" t="s">
        <v>949</v>
      </c>
      <c r="W7" s="10"/>
      <c r="X7" s="10"/>
      <c r="Y7" s="10"/>
      <c r="Z7" s="10"/>
      <c r="AA7" s="10" t="s">
        <v>950</v>
      </c>
      <c r="AB7" s="10"/>
      <c r="AC7" s="10"/>
      <c r="AD7" s="10"/>
      <c r="AE7" s="10"/>
      <c r="AF7" s="19" t="s">
        <v>41</v>
      </c>
      <c r="AG7" s="19"/>
      <c r="AH7" s="19"/>
      <c r="AI7" s="19"/>
      <c r="AJ7" s="19"/>
    </row>
    <row r="8" ht="48" customHeight="1" spans="1:36">
      <c r="A8" s="16"/>
      <c r="B8" s="17"/>
      <c r="C8" s="17"/>
      <c r="D8" s="17"/>
      <c r="E8" s="17"/>
      <c r="F8" s="18"/>
      <c r="G8" s="13" t="s">
        <v>11</v>
      </c>
      <c r="H8" s="14" t="s">
        <v>951</v>
      </c>
      <c r="I8" s="14"/>
      <c r="J8" s="14"/>
      <c r="K8" s="14"/>
      <c r="L8" s="13" t="s">
        <v>13</v>
      </c>
      <c r="M8" s="29">
        <v>0</v>
      </c>
      <c r="N8" s="35">
        <v>1</v>
      </c>
      <c r="O8" s="13" t="s">
        <v>14</v>
      </c>
      <c r="P8" s="31" t="s">
        <v>44</v>
      </c>
      <c r="Q8" s="13" t="s">
        <v>13</v>
      </c>
      <c r="R8" s="29">
        <v>0</v>
      </c>
      <c r="S8" s="35">
        <v>1</v>
      </c>
      <c r="T8" s="13" t="s">
        <v>14</v>
      </c>
      <c r="U8" s="31" t="s">
        <v>44</v>
      </c>
      <c r="V8" s="13" t="s">
        <v>13</v>
      </c>
      <c r="W8" s="29">
        <v>0</v>
      </c>
      <c r="X8" s="35">
        <v>1</v>
      </c>
      <c r="Y8" s="13" t="s">
        <v>14</v>
      </c>
      <c r="Z8" s="31" t="s">
        <v>44</v>
      </c>
      <c r="AA8" s="13" t="s">
        <v>13</v>
      </c>
      <c r="AB8" s="29">
        <v>0</v>
      </c>
      <c r="AC8" s="35">
        <v>1</v>
      </c>
      <c r="AD8" s="13" t="s">
        <v>14</v>
      </c>
      <c r="AE8" s="31" t="s">
        <v>44</v>
      </c>
      <c r="AF8" s="13" t="s">
        <v>16</v>
      </c>
      <c r="AG8" s="49" t="s">
        <v>952</v>
      </c>
      <c r="AH8" s="49"/>
      <c r="AI8" s="49"/>
      <c r="AJ8" s="49"/>
    </row>
    <row r="9" ht="48" customHeight="1" spans="1:36">
      <c r="A9" s="16"/>
      <c r="B9" s="17"/>
      <c r="C9" s="17"/>
      <c r="D9" s="17"/>
      <c r="E9" s="17"/>
      <c r="F9" s="18"/>
      <c r="G9" s="13" t="s">
        <v>18</v>
      </c>
      <c r="H9" s="15" t="s">
        <v>953</v>
      </c>
      <c r="I9" s="15"/>
      <c r="J9" s="15"/>
      <c r="K9" s="15"/>
      <c r="L9" s="13" t="s">
        <v>20</v>
      </c>
      <c r="M9" s="32">
        <v>3</v>
      </c>
      <c r="N9" s="36">
        <v>1</v>
      </c>
      <c r="O9" s="13" t="s">
        <v>21</v>
      </c>
      <c r="P9" s="31" t="s">
        <v>939</v>
      </c>
      <c r="Q9" s="13" t="s">
        <v>20</v>
      </c>
      <c r="R9" s="32">
        <v>1</v>
      </c>
      <c r="S9" s="33">
        <v>0</v>
      </c>
      <c r="T9" s="13" t="s">
        <v>21</v>
      </c>
      <c r="U9" s="31" t="s">
        <v>939</v>
      </c>
      <c r="V9" s="13" t="s">
        <v>20</v>
      </c>
      <c r="W9" s="32">
        <v>1</v>
      </c>
      <c r="X9" s="33">
        <v>0</v>
      </c>
      <c r="Y9" s="13" t="s">
        <v>21</v>
      </c>
      <c r="Z9" s="31" t="s">
        <v>939</v>
      </c>
      <c r="AA9" s="13" t="s">
        <v>20</v>
      </c>
      <c r="AB9" s="32">
        <v>4</v>
      </c>
      <c r="AC9" s="33">
        <v>0</v>
      </c>
      <c r="AD9" s="13" t="s">
        <v>21</v>
      </c>
      <c r="AE9" s="31" t="s">
        <v>939</v>
      </c>
      <c r="AF9" s="13" t="s">
        <v>24</v>
      </c>
      <c r="AG9" s="50" t="s">
        <v>954</v>
      </c>
      <c r="AH9" s="50"/>
      <c r="AI9" s="50"/>
      <c r="AJ9" s="50"/>
    </row>
    <row r="10" ht="70.75" customHeight="1" spans="1:36">
      <c r="A10" s="16" t="s">
        <v>373</v>
      </c>
      <c r="B10" s="17" t="s">
        <v>955</v>
      </c>
      <c r="C10" s="17"/>
      <c r="D10" s="17"/>
      <c r="E10" s="17"/>
      <c r="F10" s="18"/>
      <c r="G10" s="13"/>
      <c r="H10" s="15"/>
      <c r="I10" s="15"/>
      <c r="J10" s="15"/>
      <c r="K10" s="15"/>
      <c r="L10" s="13" t="s">
        <v>28</v>
      </c>
      <c r="M10" s="37" t="s">
        <v>956</v>
      </c>
      <c r="N10" s="37"/>
      <c r="O10" s="37"/>
      <c r="P10" s="37"/>
      <c r="Q10" s="13" t="s">
        <v>28</v>
      </c>
      <c r="R10" s="40" t="s">
        <v>957</v>
      </c>
      <c r="S10" s="40"/>
      <c r="T10" s="40"/>
      <c r="U10" s="40"/>
      <c r="V10" s="13" t="s">
        <v>28</v>
      </c>
      <c r="W10" s="42" t="s">
        <v>958</v>
      </c>
      <c r="X10" s="42"/>
      <c r="Y10" s="42"/>
      <c r="Z10" s="42"/>
      <c r="AA10" s="13" t="s">
        <v>28</v>
      </c>
      <c r="AB10" s="44" t="s">
        <v>959</v>
      </c>
      <c r="AC10" s="44"/>
      <c r="AD10" s="44"/>
      <c r="AE10" s="44"/>
      <c r="AF10" s="13"/>
      <c r="AG10" s="50"/>
      <c r="AH10" s="50"/>
      <c r="AI10" s="50"/>
      <c r="AJ10" s="50"/>
    </row>
    <row r="11" ht="18.75" customHeight="1" spans="1:36">
      <c r="A11" s="7"/>
      <c r="B11" s="7"/>
      <c r="C11" s="7"/>
      <c r="D11" s="7"/>
      <c r="E11" s="7"/>
      <c r="F11" s="18" t="s">
        <v>55</v>
      </c>
      <c r="G11" s="19" t="s">
        <v>56</v>
      </c>
      <c r="H11" s="19"/>
      <c r="I11" s="19"/>
      <c r="J11" s="19"/>
      <c r="K11" s="19"/>
      <c r="L11" s="10" t="s">
        <v>960</v>
      </c>
      <c r="M11" s="10"/>
      <c r="N11" s="10"/>
      <c r="O11" s="10"/>
      <c r="P11" s="10"/>
      <c r="Q11" s="10" t="s">
        <v>961</v>
      </c>
      <c r="R11" s="10"/>
      <c r="S11" s="10"/>
      <c r="T11" s="10"/>
      <c r="U11" s="10"/>
      <c r="V11" s="10" t="s">
        <v>962</v>
      </c>
      <c r="W11" s="10"/>
      <c r="X11" s="10"/>
      <c r="Y11" s="10"/>
      <c r="Z11" s="10"/>
      <c r="AA11" s="10" t="s">
        <v>963</v>
      </c>
      <c r="AB11" s="10"/>
      <c r="AC11" s="10"/>
      <c r="AD11" s="10"/>
      <c r="AE11" s="10"/>
      <c r="AF11" s="19" t="s">
        <v>61</v>
      </c>
      <c r="AG11" s="19"/>
      <c r="AH11" s="19"/>
      <c r="AI11" s="19"/>
      <c r="AJ11" s="19"/>
    </row>
    <row r="12" ht="48" customHeight="1" spans="1:36">
      <c r="A12" s="20" t="s">
        <v>383</v>
      </c>
      <c r="B12" s="21" t="str">
        <f>_xlfn.DISPIMG("ID_48C5E21878D9484598794F0994FDC453",1)</f>
        <v>=DISPIMG("ID_48C5E21878D9484598794F0994FDC453",1)</v>
      </c>
      <c r="C12" s="21"/>
      <c r="D12" s="21"/>
      <c r="E12" s="21"/>
      <c r="F12" s="18"/>
      <c r="G12" s="13" t="s">
        <v>11</v>
      </c>
      <c r="H12" s="22" t="s">
        <v>964</v>
      </c>
      <c r="I12" s="22"/>
      <c r="J12" s="22"/>
      <c r="K12" s="22"/>
      <c r="L12" s="13" t="s">
        <v>13</v>
      </c>
      <c r="M12" s="29">
        <v>0</v>
      </c>
      <c r="N12" s="30">
        <v>0</v>
      </c>
      <c r="O12" s="13" t="s">
        <v>14</v>
      </c>
      <c r="P12" s="31" t="s">
        <v>44</v>
      </c>
      <c r="Q12" s="13" t="s">
        <v>13</v>
      </c>
      <c r="R12" s="39">
        <v>1</v>
      </c>
      <c r="S12" s="30">
        <v>0</v>
      </c>
      <c r="T12" s="13" t="s">
        <v>14</v>
      </c>
      <c r="U12" s="31" t="s">
        <v>44</v>
      </c>
      <c r="V12" s="13" t="s">
        <v>13</v>
      </c>
      <c r="W12" s="29">
        <v>0</v>
      </c>
      <c r="X12" s="35">
        <v>1</v>
      </c>
      <c r="Y12" s="13" t="s">
        <v>14</v>
      </c>
      <c r="Z12" s="31" t="s">
        <v>44</v>
      </c>
      <c r="AA12" s="13" t="s">
        <v>13</v>
      </c>
      <c r="AB12" s="29">
        <v>0</v>
      </c>
      <c r="AC12" s="35">
        <v>1</v>
      </c>
      <c r="AD12" s="13" t="s">
        <v>14</v>
      </c>
      <c r="AE12" s="31" t="s">
        <v>44</v>
      </c>
      <c r="AF12" s="13" t="s">
        <v>16</v>
      </c>
      <c r="AG12" s="47" t="s">
        <v>965</v>
      </c>
      <c r="AH12" s="47"/>
      <c r="AI12" s="47"/>
      <c r="AJ12" s="47"/>
    </row>
    <row r="13" ht="48" customHeight="1" spans="1:36">
      <c r="A13" s="20"/>
      <c r="B13" s="21"/>
      <c r="C13" s="21"/>
      <c r="D13" s="21"/>
      <c r="E13" s="21"/>
      <c r="F13" s="18"/>
      <c r="G13" s="13" t="s">
        <v>18</v>
      </c>
      <c r="H13" s="23" t="s">
        <v>966</v>
      </c>
      <c r="I13" s="23"/>
      <c r="J13" s="23"/>
      <c r="K13" s="23"/>
      <c r="L13" s="13" t="s">
        <v>20</v>
      </c>
      <c r="M13" s="32">
        <v>5</v>
      </c>
      <c r="N13" s="33">
        <v>0</v>
      </c>
      <c r="O13" s="13" t="s">
        <v>21</v>
      </c>
      <c r="P13" s="31" t="s">
        <v>939</v>
      </c>
      <c r="Q13" s="13" t="s">
        <v>20</v>
      </c>
      <c r="R13" s="32">
        <v>5</v>
      </c>
      <c r="S13" s="33">
        <v>0</v>
      </c>
      <c r="T13" s="13" t="s">
        <v>21</v>
      </c>
      <c r="U13" s="31" t="s">
        <v>939</v>
      </c>
      <c r="V13" s="13" t="s">
        <v>20</v>
      </c>
      <c r="W13" s="32">
        <v>8</v>
      </c>
      <c r="X13" s="36">
        <v>2</v>
      </c>
      <c r="Y13" s="13" t="s">
        <v>21</v>
      </c>
      <c r="Z13" s="31" t="s">
        <v>939</v>
      </c>
      <c r="AA13" s="13" t="s">
        <v>20</v>
      </c>
      <c r="AB13" s="32">
        <v>8</v>
      </c>
      <c r="AC13" s="36">
        <v>2</v>
      </c>
      <c r="AD13" s="13" t="s">
        <v>21</v>
      </c>
      <c r="AE13" s="31" t="s">
        <v>939</v>
      </c>
      <c r="AF13" s="13" t="s">
        <v>24</v>
      </c>
      <c r="AG13" s="51" t="s">
        <v>967</v>
      </c>
      <c r="AH13" s="52"/>
      <c r="AI13" s="52"/>
      <c r="AJ13" s="52"/>
    </row>
    <row r="14" ht="70.75" customHeight="1" spans="1:36">
      <c r="A14" s="20"/>
      <c r="B14" s="21"/>
      <c r="C14" s="21"/>
      <c r="D14" s="21"/>
      <c r="E14" s="21"/>
      <c r="F14" s="18"/>
      <c r="G14" s="13"/>
      <c r="H14" s="23"/>
      <c r="I14" s="23"/>
      <c r="J14" s="23"/>
      <c r="K14" s="23"/>
      <c r="L14" s="13" t="s">
        <v>28</v>
      </c>
      <c r="M14" s="38" t="s">
        <v>968</v>
      </c>
      <c r="N14" s="38"/>
      <c r="O14" s="38"/>
      <c r="P14" s="38"/>
      <c r="Q14" s="13" t="s">
        <v>28</v>
      </c>
      <c r="R14" s="37" t="s">
        <v>969</v>
      </c>
      <c r="S14" s="37"/>
      <c r="T14" s="37"/>
      <c r="U14" s="37"/>
      <c r="V14" s="13" t="s">
        <v>28</v>
      </c>
      <c r="W14" s="37" t="s">
        <v>970</v>
      </c>
      <c r="X14" s="37"/>
      <c r="Y14" s="37"/>
      <c r="Z14" s="37"/>
      <c r="AA14" s="13" t="s">
        <v>28</v>
      </c>
      <c r="AB14" s="45" t="s">
        <v>971</v>
      </c>
      <c r="AC14" s="45"/>
      <c r="AD14" s="45"/>
      <c r="AE14" s="45"/>
      <c r="AF14" s="13"/>
      <c r="AG14" s="52"/>
      <c r="AH14" s="52"/>
      <c r="AI14" s="52"/>
      <c r="AJ14" s="52"/>
    </row>
    <row r="15" ht="18.75" customHeight="1" spans="1:36">
      <c r="A15" s="24"/>
      <c r="B15" s="24"/>
      <c r="C15" s="24"/>
      <c r="D15" s="24"/>
      <c r="E15" s="24"/>
      <c r="F15" s="18" t="s">
        <v>77</v>
      </c>
      <c r="G15" s="19" t="s">
        <v>392</v>
      </c>
      <c r="H15" s="19"/>
      <c r="I15" s="19"/>
      <c r="J15" s="19"/>
      <c r="K15" s="19"/>
      <c r="L15" s="10" t="s">
        <v>972</v>
      </c>
      <c r="M15" s="10"/>
      <c r="N15" s="10"/>
      <c r="O15" s="10"/>
      <c r="P15" s="10"/>
      <c r="Q15" s="10" t="s">
        <v>973</v>
      </c>
      <c r="R15" s="10"/>
      <c r="S15" s="10"/>
      <c r="T15" s="10"/>
      <c r="U15" s="10"/>
      <c r="V15" s="10" t="s">
        <v>974</v>
      </c>
      <c r="W15" s="10"/>
      <c r="X15" s="10"/>
      <c r="Y15" s="10"/>
      <c r="Z15" s="10"/>
      <c r="AA15" s="10" t="s">
        <v>975</v>
      </c>
      <c r="AB15" s="10"/>
      <c r="AC15" s="10"/>
      <c r="AD15" s="10"/>
      <c r="AE15" s="10"/>
      <c r="AF15" s="19"/>
      <c r="AG15" s="19"/>
      <c r="AH15" s="19"/>
      <c r="AI15" s="19"/>
      <c r="AJ15" s="19"/>
    </row>
    <row r="16" ht="48" customHeight="1" spans="1:36">
      <c r="A16" s="25" t="s">
        <v>398</v>
      </c>
      <c r="B16" s="26" t="s">
        <v>88</v>
      </c>
      <c r="C16" s="26"/>
      <c r="D16" s="26"/>
      <c r="E16" s="26"/>
      <c r="F16" s="18"/>
      <c r="G16" s="13" t="s">
        <v>11</v>
      </c>
      <c r="H16" s="22" t="s">
        <v>976</v>
      </c>
      <c r="I16" s="22"/>
      <c r="J16" s="22"/>
      <c r="K16" s="22"/>
      <c r="L16" s="13" t="s">
        <v>13</v>
      </c>
      <c r="M16" s="39">
        <v>1</v>
      </c>
      <c r="N16" s="30">
        <v>0</v>
      </c>
      <c r="O16" s="13" t="s">
        <v>14</v>
      </c>
      <c r="P16" s="31" t="s">
        <v>44</v>
      </c>
      <c r="Q16" s="13" t="s">
        <v>13</v>
      </c>
      <c r="R16" s="29">
        <v>0</v>
      </c>
      <c r="S16" s="30">
        <v>0</v>
      </c>
      <c r="T16" s="13" t="s">
        <v>14</v>
      </c>
      <c r="U16" s="31" t="s">
        <v>44</v>
      </c>
      <c r="V16" s="13" t="s">
        <v>13</v>
      </c>
      <c r="W16" s="39">
        <v>1</v>
      </c>
      <c r="X16" s="35">
        <v>1</v>
      </c>
      <c r="Y16" s="13" t="s">
        <v>14</v>
      </c>
      <c r="Z16" s="31" t="s">
        <v>44</v>
      </c>
      <c r="AA16" s="13" t="s">
        <v>13</v>
      </c>
      <c r="AB16" s="29">
        <v>0</v>
      </c>
      <c r="AC16" s="30">
        <v>0</v>
      </c>
      <c r="AD16" s="13" t="s">
        <v>14</v>
      </c>
      <c r="AE16" s="31" t="s">
        <v>44</v>
      </c>
      <c r="AF16" s="13" t="s">
        <v>16</v>
      </c>
      <c r="AG16" s="47" t="s">
        <v>977</v>
      </c>
      <c r="AH16" s="47"/>
      <c r="AI16" s="47"/>
      <c r="AJ16" s="47"/>
    </row>
    <row r="17" ht="48" customHeight="1" spans="1:36">
      <c r="A17" s="25" t="s">
        <v>401</v>
      </c>
      <c r="B17" s="26" t="s">
        <v>84</v>
      </c>
      <c r="C17" s="26"/>
      <c r="D17" s="26"/>
      <c r="E17" s="26"/>
      <c r="F17" s="18"/>
      <c r="G17" s="13" t="s">
        <v>18</v>
      </c>
      <c r="H17" s="23" t="s">
        <v>978</v>
      </c>
      <c r="I17" s="23"/>
      <c r="J17" s="23"/>
      <c r="K17" s="23"/>
      <c r="L17" s="13" t="s">
        <v>20</v>
      </c>
      <c r="M17" s="32">
        <v>6</v>
      </c>
      <c r="N17" s="36">
        <v>1</v>
      </c>
      <c r="O17" s="13" t="s">
        <v>21</v>
      </c>
      <c r="P17" s="31" t="s">
        <v>939</v>
      </c>
      <c r="Q17" s="13" t="s">
        <v>20</v>
      </c>
      <c r="R17" s="32">
        <v>1</v>
      </c>
      <c r="S17" s="33">
        <v>0</v>
      </c>
      <c r="T17" s="13" t="s">
        <v>21</v>
      </c>
      <c r="U17" s="31" t="s">
        <v>939</v>
      </c>
      <c r="V17" s="13" t="s">
        <v>20</v>
      </c>
      <c r="W17" s="43">
        <v>0</v>
      </c>
      <c r="X17" s="36">
        <v>3</v>
      </c>
      <c r="Y17" s="13" t="s">
        <v>21</v>
      </c>
      <c r="Z17" s="31" t="s">
        <v>939</v>
      </c>
      <c r="AA17" s="13" t="s">
        <v>20</v>
      </c>
      <c r="AB17" s="32">
        <v>5</v>
      </c>
      <c r="AC17" s="36">
        <v>1</v>
      </c>
      <c r="AD17" s="13" t="s">
        <v>21</v>
      </c>
      <c r="AE17" s="31" t="s">
        <v>979</v>
      </c>
      <c r="AF17" s="13" t="s">
        <v>24</v>
      </c>
      <c r="AG17" s="51" t="s">
        <v>980</v>
      </c>
      <c r="AH17" s="51"/>
      <c r="AI17" s="51"/>
      <c r="AJ17" s="51"/>
    </row>
    <row r="18" ht="87.75" customHeight="1" spans="1:36">
      <c r="A18" s="27" t="s">
        <v>404</v>
      </c>
      <c r="B18" s="28" t="s">
        <v>981</v>
      </c>
      <c r="C18" s="28"/>
      <c r="D18" s="28"/>
      <c r="E18" s="28"/>
      <c r="F18" s="18"/>
      <c r="G18" s="13"/>
      <c r="H18" s="23"/>
      <c r="I18" s="23"/>
      <c r="J18" s="23"/>
      <c r="K18" s="23"/>
      <c r="L18" s="13" t="s">
        <v>28</v>
      </c>
      <c r="M18" s="40" t="s">
        <v>982</v>
      </c>
      <c r="N18" s="40"/>
      <c r="O18" s="40"/>
      <c r="P18" s="40"/>
      <c r="Q18" s="13" t="s">
        <v>28</v>
      </c>
      <c r="R18" s="40" t="s">
        <v>983</v>
      </c>
      <c r="S18" s="40"/>
      <c r="T18" s="40"/>
      <c r="U18" s="40"/>
      <c r="V18" s="13" t="s">
        <v>28</v>
      </c>
      <c r="W18" s="40" t="s">
        <v>984</v>
      </c>
      <c r="X18" s="40"/>
      <c r="Y18" s="40"/>
      <c r="Z18" s="40"/>
      <c r="AA18" s="13" t="s">
        <v>28</v>
      </c>
      <c r="AB18" s="46" t="s">
        <v>985</v>
      </c>
      <c r="AC18" s="46"/>
      <c r="AD18" s="46"/>
      <c r="AE18" s="46"/>
      <c r="AF18" s="13"/>
      <c r="AG18" s="51"/>
      <c r="AH18" s="51"/>
      <c r="AI18" s="51"/>
      <c r="AJ18" s="51"/>
    </row>
    <row r="47" spans="18:18">
      <c r="R47"/>
    </row>
  </sheetData>
  <sheetProtection selectLockedCells="1" formatCells="0" formatColumns="0" formatRows="0" insertRows="0" insertColumns="0" insertHyperlinks="0" deleteColumns="0" deleteRows="0" sort="0" autoFilter="0" pivotTables="0"/>
  <mergeCells count="85">
    <mergeCell ref="B1:C1"/>
    <mergeCell ref="D1:E1"/>
    <mergeCell ref="L1:P1"/>
    <mergeCell ref="Q1:U1"/>
    <mergeCell ref="V1:Z1"/>
    <mergeCell ref="AA1:AE1"/>
    <mergeCell ref="G3:K3"/>
    <mergeCell ref="L3:P3"/>
    <mergeCell ref="Q3:U3"/>
    <mergeCell ref="V3:Z3"/>
    <mergeCell ref="AA3:AE3"/>
    <mergeCell ref="AF3:AJ3"/>
    <mergeCell ref="H4:K4"/>
    <mergeCell ref="AG4:AJ4"/>
    <mergeCell ref="B6:E6"/>
    <mergeCell ref="M6:P6"/>
    <mergeCell ref="R6:U6"/>
    <mergeCell ref="W6:Z6"/>
    <mergeCell ref="AB6:AE6"/>
    <mergeCell ref="G7:K7"/>
    <mergeCell ref="L7:P7"/>
    <mergeCell ref="Q7:U7"/>
    <mergeCell ref="V7:Z7"/>
    <mergeCell ref="AA7:AE7"/>
    <mergeCell ref="AF7:AJ7"/>
    <mergeCell ref="H8:K8"/>
    <mergeCell ref="AG8:AJ8"/>
    <mergeCell ref="B10:E10"/>
    <mergeCell ref="M10:P10"/>
    <mergeCell ref="R10:U10"/>
    <mergeCell ref="W10:Z10"/>
    <mergeCell ref="AB10:AE10"/>
    <mergeCell ref="G11:K11"/>
    <mergeCell ref="L11:P11"/>
    <mergeCell ref="Q11:U11"/>
    <mergeCell ref="V11:Z11"/>
    <mergeCell ref="AA11:AE11"/>
    <mergeCell ref="AF11:AJ11"/>
    <mergeCell ref="H12:K12"/>
    <mergeCell ref="AG12:AJ12"/>
    <mergeCell ref="M14:P14"/>
    <mergeCell ref="R14:U14"/>
    <mergeCell ref="W14:Z14"/>
    <mergeCell ref="AB14:AE14"/>
    <mergeCell ref="G15:K15"/>
    <mergeCell ref="L15:P15"/>
    <mergeCell ref="Q15:U15"/>
    <mergeCell ref="V15:Z15"/>
    <mergeCell ref="AA15:AE15"/>
    <mergeCell ref="AF15:AJ15"/>
    <mergeCell ref="B16:E16"/>
    <mergeCell ref="H16:K16"/>
    <mergeCell ref="AG16:AJ16"/>
    <mergeCell ref="B17:E17"/>
    <mergeCell ref="B18:E18"/>
    <mergeCell ref="M18:P18"/>
    <mergeCell ref="R18:U18"/>
    <mergeCell ref="W18:Z18"/>
    <mergeCell ref="AB18:AE18"/>
    <mergeCell ref="A7:A9"/>
    <mergeCell ref="A12:A14"/>
    <mergeCell ref="F3:F6"/>
    <mergeCell ref="F7:F10"/>
    <mergeCell ref="F11:F14"/>
    <mergeCell ref="F15:F18"/>
    <mergeCell ref="G5:G6"/>
    <mergeCell ref="G9:G10"/>
    <mergeCell ref="G13:G14"/>
    <mergeCell ref="G17:G18"/>
    <mergeCell ref="AF5:AF6"/>
    <mergeCell ref="AF9:AF10"/>
    <mergeCell ref="AF13:AF14"/>
    <mergeCell ref="AF17:AF18"/>
    <mergeCell ref="A4:B5"/>
    <mergeCell ref="C4:E5"/>
    <mergeCell ref="H5:K6"/>
    <mergeCell ref="AG5:AJ6"/>
    <mergeCell ref="B7:E9"/>
    <mergeCell ref="H9:K10"/>
    <mergeCell ref="AG9:AJ10"/>
    <mergeCell ref="B12:E14"/>
    <mergeCell ref="H13:K14"/>
    <mergeCell ref="AG13:AJ14"/>
    <mergeCell ref="H17:K18"/>
    <mergeCell ref="AG17:AJ18"/>
  </mergeCells>
  <conditionalFormatting sqref="M4">
    <cfRule type="cellIs" dxfId="0" priority="43" operator="equal">
      <formula>0</formula>
    </cfRule>
  </conditionalFormatting>
  <conditionalFormatting sqref="N4">
    <cfRule type="cellIs" dxfId="0" priority="44" operator="equal">
      <formula>0</formula>
    </cfRule>
  </conditionalFormatting>
  <conditionalFormatting sqref="R4">
    <cfRule type="cellIs" dxfId="0" priority="40" operator="equal">
      <formula>0</formula>
    </cfRule>
  </conditionalFormatting>
  <conditionalFormatting sqref="S4">
    <cfRule type="cellIs" dxfId="0" priority="41" operator="equal">
      <formula>0</formula>
    </cfRule>
  </conditionalFormatting>
  <conditionalFormatting sqref="W4">
    <cfRule type="cellIs" dxfId="0" priority="37" operator="equal">
      <formula>0</formula>
    </cfRule>
  </conditionalFormatting>
  <conditionalFormatting sqref="X4">
    <cfRule type="cellIs" dxfId="0" priority="38" operator="equal">
      <formula>0</formula>
    </cfRule>
  </conditionalFormatting>
  <conditionalFormatting sqref="AB4">
    <cfRule type="cellIs" dxfId="0" priority="34" operator="equal">
      <formula>0</formula>
    </cfRule>
  </conditionalFormatting>
  <conditionalFormatting sqref="AC4">
    <cfRule type="cellIs" dxfId="0" priority="35" operator="equal">
      <formula>0</formula>
    </cfRule>
  </conditionalFormatting>
  <conditionalFormatting sqref="M8">
    <cfRule type="cellIs" dxfId="0" priority="31" operator="equal">
      <formula>0</formula>
    </cfRule>
  </conditionalFormatting>
  <conditionalFormatting sqref="N8">
    <cfRule type="cellIs" dxfId="0" priority="32" operator="equal">
      <formula>0</formula>
    </cfRule>
  </conditionalFormatting>
  <conditionalFormatting sqref="R8">
    <cfRule type="cellIs" dxfId="0" priority="22" operator="equal">
      <formula>0</formula>
    </cfRule>
  </conditionalFormatting>
  <conditionalFormatting sqref="S8">
    <cfRule type="cellIs" dxfId="0" priority="23" operator="equal">
      <formula>0</formula>
    </cfRule>
  </conditionalFormatting>
  <conditionalFormatting sqref="W8">
    <cfRule type="cellIs" dxfId="0" priority="19" operator="equal">
      <formula>0</formula>
    </cfRule>
  </conditionalFormatting>
  <conditionalFormatting sqref="X8">
    <cfRule type="cellIs" dxfId="0" priority="20" operator="equal">
      <formula>0</formula>
    </cfRule>
  </conditionalFormatting>
  <conditionalFormatting sqref="AB8">
    <cfRule type="cellIs" dxfId="0" priority="1" operator="equal">
      <formula>0</formula>
    </cfRule>
  </conditionalFormatting>
  <conditionalFormatting sqref="AC8">
    <cfRule type="cellIs" dxfId="0" priority="2" operator="equal">
      <formula>0</formula>
    </cfRule>
  </conditionalFormatting>
  <conditionalFormatting sqref="M12">
    <cfRule type="cellIs" dxfId="0" priority="28" operator="equal">
      <formula>0</formula>
    </cfRule>
  </conditionalFormatting>
  <conditionalFormatting sqref="N12">
    <cfRule type="cellIs" dxfId="0" priority="29" operator="equal">
      <formula>0</formula>
    </cfRule>
  </conditionalFormatting>
  <conditionalFormatting sqref="R12">
    <cfRule type="cellIs" dxfId="0" priority="25" operator="equal">
      <formula>0</formula>
    </cfRule>
  </conditionalFormatting>
  <conditionalFormatting sqref="S12">
    <cfRule type="cellIs" dxfId="0" priority="26" operator="equal">
      <formula>0</formula>
    </cfRule>
  </conditionalFormatting>
  <conditionalFormatting sqref="W12">
    <cfRule type="cellIs" dxfId="0" priority="16" operator="equal">
      <formula>0</formula>
    </cfRule>
  </conditionalFormatting>
  <conditionalFormatting sqref="X12">
    <cfRule type="cellIs" dxfId="0" priority="17" operator="equal">
      <formula>0</formula>
    </cfRule>
  </conditionalFormatting>
  <conditionalFormatting sqref="AB12">
    <cfRule type="cellIs" dxfId="0" priority="7" operator="equal">
      <formula>0</formula>
    </cfRule>
  </conditionalFormatting>
  <conditionalFormatting sqref="AC12">
    <cfRule type="cellIs" dxfId="0" priority="8" operator="equal">
      <formula>0</formula>
    </cfRule>
  </conditionalFormatting>
  <conditionalFormatting sqref="R16">
    <cfRule type="cellIs" dxfId="0" priority="13" operator="equal">
      <formula>0</formula>
    </cfRule>
  </conditionalFormatting>
  <conditionalFormatting sqref="S16">
    <cfRule type="cellIs" dxfId="0" priority="14" operator="equal">
      <formula>0</formula>
    </cfRule>
  </conditionalFormatting>
  <conditionalFormatting sqref="W16">
    <cfRule type="cellIs" dxfId="0" priority="10" operator="equal">
      <formula>0</formula>
    </cfRule>
  </conditionalFormatting>
  <conditionalFormatting sqref="X16">
    <cfRule type="cellIs" dxfId="0" priority="11" operator="equal">
      <formula>0</formula>
    </cfRule>
  </conditionalFormatting>
  <conditionalFormatting sqref="AB16">
    <cfRule type="cellIs" dxfId="0" priority="4" operator="equal">
      <formula>0</formula>
    </cfRule>
  </conditionalFormatting>
  <conditionalFormatting sqref="AC16">
    <cfRule type="cellIs" dxfId="0" priority="5" operator="equal">
      <formula>0</formula>
    </cfRule>
  </conditionalFormatting>
  <conditionalFormatting sqref="M4:N5">
    <cfRule type="cellIs" dxfId="1" priority="45" operator="equal">
      <formula>0</formula>
    </cfRule>
  </conditionalFormatting>
  <conditionalFormatting sqref="R4:S5">
    <cfRule type="cellIs" dxfId="1" priority="42" operator="equal">
      <formula>0</formula>
    </cfRule>
  </conditionalFormatting>
  <conditionalFormatting sqref="W4:X5">
    <cfRule type="cellIs" dxfId="1" priority="39" operator="equal">
      <formula>0</formula>
    </cfRule>
  </conditionalFormatting>
  <conditionalFormatting sqref="AB4:AC5">
    <cfRule type="cellIs" dxfId="1" priority="36" operator="equal">
      <formula>0</formula>
    </cfRule>
  </conditionalFormatting>
  <conditionalFormatting sqref="M8:N9">
    <cfRule type="cellIs" dxfId="1" priority="33" operator="equal">
      <formula>0</formula>
    </cfRule>
  </conditionalFormatting>
  <conditionalFormatting sqref="R8:S9">
    <cfRule type="cellIs" dxfId="1" priority="24" operator="equal">
      <formula>0</formula>
    </cfRule>
  </conditionalFormatting>
  <conditionalFormatting sqref="W8:X9">
    <cfRule type="cellIs" dxfId="1" priority="21" operator="equal">
      <formula>0</formula>
    </cfRule>
  </conditionalFormatting>
  <conditionalFormatting sqref="AB8:AC9">
    <cfRule type="cellIs" dxfId="1" priority="3" operator="equal">
      <formula>0</formula>
    </cfRule>
  </conditionalFormatting>
  <conditionalFormatting sqref="M12:N13">
    <cfRule type="cellIs" dxfId="1" priority="30" operator="equal">
      <formula>0</formula>
    </cfRule>
  </conditionalFormatting>
  <conditionalFormatting sqref="R12:S13">
    <cfRule type="cellIs" dxfId="1" priority="27" operator="equal">
      <formula>0</formula>
    </cfRule>
  </conditionalFormatting>
  <conditionalFormatting sqref="W12:X13">
    <cfRule type="cellIs" dxfId="1" priority="18" operator="equal">
      <formula>0</formula>
    </cfRule>
  </conditionalFormatting>
  <conditionalFormatting sqref="AB12:AC13">
    <cfRule type="cellIs" dxfId="1" priority="9" operator="equal">
      <formula>0</formula>
    </cfRule>
  </conditionalFormatting>
  <conditionalFormatting sqref="R16:S17">
    <cfRule type="cellIs" dxfId="1" priority="15" operator="equal">
      <formula>0</formula>
    </cfRule>
  </conditionalFormatting>
  <conditionalFormatting sqref="W16:X17">
    <cfRule type="cellIs" dxfId="1" priority="12" operator="equal">
      <formula>0</formula>
    </cfRule>
  </conditionalFormatting>
  <conditionalFormatting sqref="AB16:AC17">
    <cfRule type="cellIs" dxfId="1" priority="6" operator="equal">
      <formula>0</formula>
    </cfRule>
  </conditionalFormatting>
  <pageMargins left="0.75" right="0.75" top="1" bottom="1" header="0.5" footer="0.5"/>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��(W�bz�-N@b	g�c�S�vb/g�p��/fb/g�[ꁫ��S$U�Q�vb/g�p�vQ�Nb/g�[�S$U�vb/g�pNONKN�Su�N�R0
</file>

<file path=customXml/item2.xml>��
</file>

<file path=customXml/item3.xml>��
</file>

<file path=customXml/item4.xml>��
</file>

<file path=customXml/item5.xml><?xml version="1.0" encoding="utf-8"?>
<s:customData xmlns="http://www.wps.cn/officeDocument/2013/wpsCustomData" xmlns:s="http://www.wps.cn/officeDocument/2013/wpsCustomData">
  <extobjs>
    <extobj name="E657119C-6982-421D-8BA7-E74DEB70A7DB-1">
      <extobjdata type="E657119C-6982-421D-8BA7-E74DEB70A7DB" data="/C:\Users\keke2\AppData\Local\Temp\ksohtml\clip_image2.png"/>
    </extobj>
    <extobj name="E657119C-6982-421D-8BA7-E74DEB70A7DB-2">
      <extobjdata type="E657119C-6982-421D-8BA7-E74DEB70A7DB" data="/C:\Users\keke2\AppData\Local\Temp\ksohtml\clip_image4.png"/>
    </extobj>
    <extobj name="E657119C-6982-421D-8BA7-E74DEB70A7DB-3">
      <extobjdata type="E657119C-6982-421D-8BA7-E74DEB70A7DB" data="/C:\Users\keke2\AppData\Local\Temp\ksohtml\clip_image5.png"/>
    </extobj>
    <extobj name="E657119C-6982-421D-8BA7-E74DEB70A7DB-4">
      <extobjdata type="E657119C-6982-421D-8BA7-E74DEB70A7DB" data="/C:\Users\keke2\AppData\Local\Temp\ksohtml\clip_image8.png"/>
    </extobj>
    <extobj name="E657119C-6982-421D-8BA7-E74DEB70A7DB-5">
      <extobjdata type="E657119C-6982-421D-8BA7-E74DEB70A7DB" data="/C:\Users\keke2\AppData\Local\Temp\ksohtml\clip_image3.png"/>
    </extobj>
    <extobj name="E657119C-6982-421D-8BA7-E74DEB70A7DB-6">
      <extobjdata type="E657119C-6982-421D-8BA7-E74DEB70A7DB" data="/C:\Users\keke2\AppData\Local\Temp\ksohtml\clip_image10.png"/>
    </extobj>
    <extobj name="E657119C-6982-421D-8BA7-E74DEB70A7DB-7">
      <extobjdata type="E657119C-6982-421D-8BA7-E74DEB70A7DB" data="/C:\Users\keke2\AppData\Local\Temp\ksohtml\clip_image6.png"/>
    </extobj>
    <extobj name="E657119C-6982-421D-8BA7-E74DEB70A7DB-8">
      <extobjdata type="E657119C-6982-421D-8BA7-E74DEB70A7DB" data="/C:\Users\keke2\AppData\Local\Temp\ksohtml\clip_image11.png"/>
    </extobj>
    <extobj name="E657119C-6982-421D-8BA7-E74DEB70A7DB-17">
      <extobjdata type="E657119C-6982-421D-8BA7-E74DEB70A7DB" data="/C:\Users\keke2\AppData\Local\Temp\ksohtml\clip_image2.png"/>
    </extobj>
    <extobj name="E657119C-6982-421D-8BA7-E74DEB70A7DB-18">
      <extobjdata type="E657119C-6982-421D-8BA7-E74DEB70A7DB" data="/C:\Users\keke2\AppData\Local\Temp\ksohtml\clip_image3.png"/>
    </extobj>
    <extobj name="E657119C-6982-421D-8BA7-E74DEB70A7DB-19">
      <extobjdata type="E657119C-6982-421D-8BA7-E74DEB70A7DB" data="/C:\Users\keke2\AppData\Local\Temp\ksohtml\clip_image4.png"/>
    </extobj>
    <extobj name="E657119C-6982-421D-8BA7-E74DEB70A7DB-20">
      <extobjdata type="E657119C-6982-421D-8BA7-E74DEB70A7DB" data="/C:\Users\keke2\AppData\Local\Temp\ksohtml\clip_image5.png"/>
    </extobj>
    <extobj name="E657119C-6982-421D-8BA7-E74DEB70A7DB-21">
      <extobjdata type="E657119C-6982-421D-8BA7-E74DEB70A7DB" data="/C:\Users\keke2\AppData\Local\Temp\ksohtml\clip_image6.png"/>
    </extobj>
    <extobj name="E657119C-6982-421D-8BA7-E74DEB70A7DB-22">
      <extobjdata type="E657119C-6982-421D-8BA7-E74DEB70A7DB" data="/C:\Users\keke2\AppData\Local\Temp\ksohtml\clip_image7.png"/>
    </extobj>
    <extobj name="E657119C-6982-421D-8BA7-E74DEB70A7DB-26">
      <extobjdata type="E657119C-6982-421D-8BA7-E74DEB70A7DB" data="/C:\Users\keke2\AppData\Local\Temp\ksohtml\clip_image5.png"/>
    </extobj>
    <extobj name="E657119C-6982-421D-8BA7-E74DEB70A7DB-27">
      <extobjdata type="E657119C-6982-421D-8BA7-E74DEB70A7DB" data="/C:\Users\keke2\AppData\Local\Temp\ksohtml\clip_image6.png"/>
    </extobj>
  </extobjs>
</s:customData>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A02B7E37-CEC0-4786-9FA4-411A3DC59612}">
  <ds:schemaRefs/>
</ds:datastoreItem>
</file>

<file path=customXml/itemProps5.xml><?xml version="1.0" encoding="utf-8"?>
<ds:datastoreItem xmlns:ds="http://schemas.openxmlformats.org/officeDocument/2006/customXml">
  <ds:schemaRefs/>
</ds:datastoreItem>
</file>

<file path=docProps/app.xml><?xml version="1.0" encoding="utf-8"?>
<Properties xmlns="http://schemas.openxmlformats.org/officeDocument/2006/extended-properties" xmlns:vt="http://schemas.openxmlformats.org/officeDocument/2006/docPropsVTypes">
  <Application>WPS Office WWO_wpscloud_20251010183206-22817e2cf8</Application>
  <HeadingPairs>
    <vt:vector size="2" baseType="variant">
      <vt:variant>
        <vt:lpstr>工作表</vt:lpstr>
      </vt:variant>
      <vt:variant>
        <vt:i4>19</vt:i4>
      </vt:variant>
    </vt:vector>
  </HeadingPairs>
  <TitlesOfParts>
    <vt:vector size="19" baseType="lpstr">
      <vt:lpstr>尖兵</vt:lpstr>
      <vt:lpstr>冲锋手</vt:lpstr>
      <vt:lpstr>战术家</vt:lpstr>
      <vt:lpstr>铁卫</vt:lpstr>
      <vt:lpstr>守护者</vt:lpstr>
      <vt:lpstr>无畏者</vt:lpstr>
      <vt:lpstr>草稿</vt:lpstr>
      <vt:lpstr>驭法铁卫</vt:lpstr>
      <vt:lpstr>剑豪</vt:lpstr>
      <vt:lpstr>强攻手</vt:lpstr>
      <vt:lpstr>武者</vt:lpstr>
      <vt:lpstr>术战者</vt:lpstr>
      <vt:lpstr>炮手</vt:lpstr>
      <vt:lpstr>神射手</vt:lpstr>
      <vt:lpstr>速射手</vt:lpstr>
      <vt:lpstr>吟游者</vt:lpstr>
      <vt:lpstr>处决者</vt:lpstr>
      <vt:lpstr>怪杰</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27205</dc:creator>
  <cp:lastModifiedBy>古神传教士</cp:lastModifiedBy>
  <dcterms:created xsi:type="dcterms:W3CDTF">2025-04-28T14:33:00Z</dcterms:created>
  <dcterms:modified xsi:type="dcterms:W3CDTF">2025-11-02T06:55:29Z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B8E626EA82F545CE840513EAEBF3E587_13</vt:lpwstr>
  </property>
  <property fmtid="{D5CDD505-2E9C-101B-9397-08002B2CF9AE}" pid="3" name="KSOProductBuildVer">
    <vt:lpwstr>2052-12.1.0.23125</vt:lpwstr>
  </property>
</Properties>
</file>